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eeniesHung\Downloads\"/>
    </mc:Choice>
  </mc:AlternateContent>
  <xr:revisionPtr revIDLastSave="0" documentId="13_ncr:1_{982AF8A6-01DC-482D-9C90-131F20600B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2k8xBfQZoNNV7LwLiR5jP0jjsajEDcRO0Axoho2Mud8="/>
    </ext>
  </extLst>
</workbook>
</file>

<file path=xl/calcChain.xml><?xml version="1.0" encoding="utf-8"?>
<calcChain xmlns="http://schemas.openxmlformats.org/spreadsheetml/2006/main">
  <c r="A6" i="1" l="1"/>
  <c r="A8" i="1" s="1"/>
  <c r="A14" i="1" s="1"/>
  <c r="A16" i="1" s="1"/>
  <c r="A18" i="1" s="1"/>
  <c r="A23" i="1" s="1"/>
  <c r="A27" i="1" s="1"/>
  <c r="A31" i="1" s="1"/>
  <c r="A37" i="1" s="1"/>
  <c r="A43" i="1" s="1"/>
  <c r="A45" i="1" s="1"/>
  <c r="A47" i="1" s="1"/>
  <c r="A53" i="1" s="1"/>
  <c r="A58" i="1" s="1"/>
  <c r="A64" i="1" s="1"/>
  <c r="A69" i="1" s="1"/>
  <c r="A76" i="1" s="1"/>
  <c r="A78" i="1" s="1"/>
  <c r="A80" i="1" s="1"/>
  <c r="A86" i="1" s="1"/>
  <c r="A90" i="1" s="1"/>
  <c r="A97" i="1" s="1"/>
  <c r="A106" i="1" s="1"/>
  <c r="A111" i="1" s="1"/>
  <c r="A113" i="1" s="1"/>
  <c r="A115" i="1" s="1"/>
  <c r="A119" i="1" s="1"/>
  <c r="A127" i="1" s="1"/>
  <c r="A131" i="1" s="1"/>
  <c r="A138" i="1" s="1"/>
  <c r="A145" i="1" s="1"/>
</calcChain>
</file>

<file path=xl/sharedStrings.xml><?xml version="1.0" encoding="utf-8"?>
<sst xmlns="http://schemas.openxmlformats.org/spreadsheetml/2006/main" count="930" uniqueCount="322">
  <si>
    <t xml:space="preserve"> </t>
  </si>
  <si>
    <t>社區照顧服務</t>
  </si>
  <si>
    <t>護送個案總表</t>
  </si>
  <si>
    <t>&lt;- 只需改此格日期</t>
  </si>
  <si>
    <t>日期</t>
  </si>
  <si>
    <r>
      <rPr>
        <sz val="12"/>
        <color theme="1"/>
        <rFont val="PMingLiu"/>
        <family val="1"/>
        <charset val="136"/>
      </rPr>
      <t>上</t>
    </r>
    <r>
      <rPr>
        <sz val="12"/>
        <color theme="1"/>
        <rFont val="Times New Roman"/>
      </rPr>
      <t>/</t>
    </r>
    <r>
      <rPr>
        <sz val="12"/>
        <color theme="1"/>
        <rFont val="新細明體"/>
        <family val="1"/>
        <charset val="136"/>
      </rPr>
      <t>下午</t>
    </r>
  </si>
  <si>
    <t>姓名</t>
  </si>
  <si>
    <t>部門</t>
  </si>
  <si>
    <t>應診時間</t>
  </si>
  <si>
    <t>目的地</t>
  </si>
  <si>
    <t>科目</t>
  </si>
  <si>
    <t>交通工具</t>
  </si>
  <si>
    <t>備註</t>
  </si>
  <si>
    <t>經手人</t>
  </si>
  <si>
    <t>填寫日期</t>
  </si>
  <si>
    <r>
      <rPr>
        <sz val="12"/>
        <color theme="1"/>
        <rFont val="PMingLiu"/>
        <family val="1"/>
        <charset val="136"/>
      </rPr>
      <t>已檢查(</t>
    </r>
    <r>
      <rPr>
        <sz val="12"/>
        <color theme="1"/>
        <rFont val="Wingdings"/>
      </rPr>
      <t>ü</t>
    </r>
    <r>
      <rPr>
        <sz val="12"/>
        <color theme="1"/>
        <rFont val="新細明體"/>
        <family val="1"/>
        <charset val="136"/>
      </rPr>
      <t>)</t>
    </r>
  </si>
  <si>
    <t>週四</t>
  </si>
  <si>
    <t>上午</t>
  </si>
  <si>
    <t>下午</t>
  </si>
  <si>
    <t>週五</t>
  </si>
  <si>
    <t>ED</t>
  </si>
  <si>
    <t>PY</t>
  </si>
  <si>
    <t>外科銀組</t>
  </si>
  <si>
    <t>的士</t>
  </si>
  <si>
    <t>覆診完成後先回家才繼續下午覆診</t>
  </si>
  <si>
    <t>寶芝 / Bowie</t>
  </si>
  <si>
    <t>PY專科大樓L3西</t>
  </si>
  <si>
    <t>骨科</t>
  </si>
  <si>
    <t>巴士來回</t>
  </si>
  <si>
    <t>康</t>
  </si>
  <si>
    <t>IH</t>
  </si>
  <si>
    <t>貝夫人</t>
  </si>
  <si>
    <t>普通科</t>
  </si>
  <si>
    <t>的士來回</t>
  </si>
  <si>
    <t>仲坪/Croseby</t>
  </si>
  <si>
    <t>嘉文/Croseby</t>
  </si>
  <si>
    <t>內科</t>
  </si>
  <si>
    <t>熹 / 玲</t>
  </si>
  <si>
    <t>西灣河普通科門診</t>
  </si>
  <si>
    <t>抽血</t>
  </si>
  <si>
    <t>不用空肚</t>
  </si>
  <si>
    <t>倩兒</t>
  </si>
  <si>
    <t>週六</t>
  </si>
  <si>
    <t>週日</t>
  </si>
  <si>
    <t>週一</t>
  </si>
  <si>
    <t>QM</t>
  </si>
  <si>
    <t>骨科關節門診</t>
  </si>
  <si>
    <t>覆診前照X光</t>
  </si>
  <si>
    <t>嫦/Jan</t>
  </si>
  <si>
    <t>愛心小巴</t>
  </si>
  <si>
    <t>志豪 / Mavis</t>
  </si>
  <si>
    <t>RH</t>
  </si>
  <si>
    <t>Wing</t>
  </si>
  <si>
    <t>AMC</t>
  </si>
  <si>
    <t>言語治療</t>
  </si>
  <si>
    <t>芝/Croseby</t>
  </si>
  <si>
    <t>購物</t>
  </si>
  <si>
    <t>照顧員:匯珠代購(16:30-17:30)</t>
  </si>
  <si>
    <t>21/10/2025</t>
  </si>
  <si>
    <t>週二</t>
  </si>
  <si>
    <t>灣仔診所</t>
  </si>
  <si>
    <t>普通科醫生</t>
  </si>
  <si>
    <t>(建議安排菲菲陪診)</t>
  </si>
  <si>
    <t>貝夫人門診</t>
  </si>
  <si>
    <t>不用空腹</t>
  </si>
  <si>
    <t>KAWAI</t>
  </si>
  <si>
    <t>31/12/2025</t>
  </si>
  <si>
    <t>步行來回</t>
  </si>
  <si>
    <t>志豪/梓毅</t>
  </si>
  <si>
    <t>PY (L3東翼)</t>
  </si>
  <si>
    <t>香 / Bowie</t>
  </si>
  <si>
    <t>週三</t>
  </si>
  <si>
    <t>鄧肇堅</t>
  </si>
  <si>
    <t>職業治療</t>
  </si>
  <si>
    <t>梓毅</t>
  </si>
  <si>
    <t>抽血(空腹)</t>
  </si>
  <si>
    <t>提早45分鐘接長者，請帶備鞋套!</t>
  </si>
  <si>
    <t>嫦 / Bowie</t>
  </si>
  <si>
    <t>見護士+內科覆診</t>
  </si>
  <si>
    <t>仲坪 / Bowie</t>
  </si>
  <si>
    <t>灣仔區內超市</t>
  </si>
  <si>
    <t>東華東院</t>
  </si>
  <si>
    <t>眼科</t>
  </si>
  <si>
    <t>易達巴來回</t>
  </si>
  <si>
    <t>MANYU / 業</t>
  </si>
  <si>
    <t>西灣河專科門診</t>
  </si>
  <si>
    <t>家庭醫學專科</t>
  </si>
  <si>
    <t>物理治療</t>
  </si>
  <si>
    <t>小巴來回</t>
  </si>
  <si>
    <t>東座G地下</t>
  </si>
  <si>
    <t>仲坪 / Mavis</t>
  </si>
  <si>
    <t>F</t>
  </si>
  <si>
    <t>老人科</t>
  </si>
  <si>
    <t>東區醫院</t>
  </si>
  <si>
    <t>Rebecca</t>
  </si>
  <si>
    <t>普通科門診</t>
  </si>
  <si>
    <t>抽血+要驗小便(提早15分鐘到戶)</t>
  </si>
  <si>
    <t xml:space="preserve">志豪 </t>
  </si>
  <si>
    <t>TSK</t>
  </si>
  <si>
    <t>梓毅/菲</t>
  </si>
  <si>
    <t>冼正邦 (名仕醫務中心</t>
  </si>
  <si>
    <t>私家診所</t>
  </si>
  <si>
    <t>先找姚姑娘攞轉介信</t>
  </si>
  <si>
    <t>重情</t>
  </si>
  <si>
    <t>鳳/Croseby</t>
  </si>
  <si>
    <t>先進行視覺檢查, 再見醫生</t>
  </si>
  <si>
    <t>菲/Croseby</t>
  </si>
  <si>
    <t>精神科</t>
  </si>
  <si>
    <t>盡量安排照顧員嫦陪診(有關藥物)，謝謝</t>
  </si>
  <si>
    <t>嫦 / Mavis</t>
  </si>
  <si>
    <t>大口環</t>
  </si>
  <si>
    <t>關節置換組</t>
  </si>
  <si>
    <t>2025/10/14</t>
  </si>
  <si>
    <t>鄧肇堅醫院</t>
  </si>
  <si>
    <t>物理學家治療</t>
  </si>
  <si>
    <t>26/08/2025</t>
  </si>
  <si>
    <t>PYNED</t>
  </si>
  <si>
    <t>上門抽血後交血到醫院 (不需空腹)</t>
  </si>
  <si>
    <t>Carol</t>
  </si>
  <si>
    <t>19/11/2025</t>
  </si>
  <si>
    <t>梓毅/業</t>
  </si>
  <si>
    <t>梓毅/娥</t>
  </si>
  <si>
    <t>乳房外科</t>
  </si>
  <si>
    <t>內科老人科(LG3東)</t>
  </si>
  <si>
    <t>美紅 / Mavis</t>
  </si>
  <si>
    <t>抽空腹血（老人科）</t>
  </si>
  <si>
    <t>云/ Sharan</t>
  </si>
  <si>
    <t>30oct2025</t>
  </si>
  <si>
    <t>1pm接長者**同日下午有兩個覆診</t>
  </si>
  <si>
    <t>Kate</t>
  </si>
  <si>
    <t>綜合式護士診所 (呼吸科)</t>
  </si>
  <si>
    <t>輝 / Bowie</t>
  </si>
  <si>
    <t>筲箕灣普通科門診</t>
  </si>
  <si>
    <t>玲/ Manyu</t>
  </si>
  <si>
    <t>10:00前</t>
  </si>
  <si>
    <t>PY精神科</t>
  </si>
  <si>
    <t>8:45愛心小巴</t>
  </si>
  <si>
    <t>8:30到長者家</t>
  </si>
  <si>
    <t>嘉文/倩兒</t>
  </si>
  <si>
    <t>防跌診所</t>
  </si>
  <si>
    <t>嬌形外科脊椎科</t>
  </si>
  <si>
    <t>提早一小時接長者 (覆診腳)</t>
  </si>
  <si>
    <t>金 / Mavis</t>
  </si>
  <si>
    <t>TSK PT</t>
  </si>
  <si>
    <t>物理治療評估（腰）Req薇姐陪診幫手聽講解</t>
  </si>
  <si>
    <t>Sharan/ 薇姐</t>
  </si>
  <si>
    <t>30Dec2025</t>
  </si>
  <si>
    <t>PY專科大樓L5東</t>
  </si>
  <si>
    <t>耳檢科</t>
  </si>
  <si>
    <t>抽血(不需要空腹)</t>
  </si>
  <si>
    <t>香 / Mavis</t>
  </si>
  <si>
    <t>柴灣康民街</t>
  </si>
  <si>
    <t>不需空肚</t>
  </si>
  <si>
    <t>Tiffany / Mavis</t>
  </si>
  <si>
    <t>腦內科</t>
  </si>
  <si>
    <t>栢如</t>
  </si>
  <si>
    <t>物理治療+職業治療</t>
  </si>
  <si>
    <t>提早一小時到長者家接</t>
  </si>
  <si>
    <t>Tiffany / Kate</t>
  </si>
  <si>
    <t>普通科覆診</t>
  </si>
  <si>
    <t>志豪 / Bowie</t>
  </si>
  <si>
    <t>Tiffany</t>
  </si>
  <si>
    <t>藥劑師抗凝血診所</t>
  </si>
  <si>
    <t>嘉偉 / Manyu</t>
  </si>
  <si>
    <t>家庭醫學</t>
  </si>
  <si>
    <t>梓毅/秀英</t>
  </si>
  <si>
    <t>地鐵來回</t>
  </si>
  <si>
    <t>打骨針,覆診前7日抽血</t>
  </si>
  <si>
    <t>嘉偉</t>
  </si>
  <si>
    <t>視覺神經斷層掃描</t>
  </si>
  <si>
    <t>提早一小時到長者家</t>
  </si>
  <si>
    <t>HONG</t>
  </si>
  <si>
    <t>27/08/2025</t>
  </si>
  <si>
    <t>鄧志昂</t>
  </si>
  <si>
    <t>社會衛生科</t>
  </si>
  <si>
    <t>梓毅/芝</t>
  </si>
  <si>
    <t>聖雅各大樓6樓(灣仔石水渠街85號)</t>
  </si>
  <si>
    <t>領取物資</t>
  </si>
  <si>
    <t>15:30-16:30之間到6樓食物援助隊協助取奶粉</t>
  </si>
  <si>
    <t>志明 / Bowie</t>
  </si>
  <si>
    <t>RHG樓</t>
  </si>
  <si>
    <t>普通外科</t>
  </si>
  <si>
    <t>仲坪/Jan</t>
  </si>
  <si>
    <t>內科老人科</t>
  </si>
  <si>
    <t>翠燕 / Mavis</t>
  </si>
  <si>
    <t>眼科1樓</t>
  </si>
  <si>
    <t>需帶問卷</t>
  </si>
  <si>
    <t>美紅/Mavis</t>
  </si>
  <si>
    <t>莊士敦道157號中信銀行</t>
  </si>
  <si>
    <t>銀行事務</t>
  </si>
  <si>
    <t>送血液樣本</t>
  </si>
  <si>
    <t>心臟起膊護士診所</t>
  </si>
  <si>
    <t>9:00先到抽血室作空腹抽血(For 29/1老人科), 10:00到護士診所</t>
  </si>
  <si>
    <t>東區尤德拿打素醫院</t>
  </si>
  <si>
    <t>耳鼻喉專科</t>
  </si>
  <si>
    <t>輪椅來回</t>
  </si>
  <si>
    <t>中心借輪椅</t>
  </si>
  <si>
    <t>筲箕灣門診</t>
  </si>
  <si>
    <t>同事1:00到GC拎輪椅</t>
  </si>
  <si>
    <t>風濕科</t>
  </si>
  <si>
    <r>
      <rPr>
        <sz val="12"/>
        <color theme="1"/>
        <rFont val="PMingLiu"/>
        <family val="1"/>
        <charset val="136"/>
      </rPr>
      <t>提早45分鐘接長者 (已安排提早7天抽血：已安排7/1)，</t>
    </r>
    <r>
      <rPr>
        <sz val="12"/>
        <color rgb="FFFF0000"/>
        <rFont val="PMingLiu"/>
        <family val="1"/>
        <charset val="136"/>
      </rPr>
      <t>請帶備鞋套!</t>
    </r>
  </si>
  <si>
    <t>24HR心電圖</t>
  </si>
  <si>
    <t>到地鐵站附近上的士,9:15到家接長者</t>
  </si>
  <si>
    <t>內科腦及神經</t>
  </si>
  <si>
    <t>到地鐵站附近上的士,提早45分鐘到家接長者</t>
  </si>
  <si>
    <t>美紅 / Bowie</t>
  </si>
  <si>
    <t>14/11/2025</t>
  </si>
  <si>
    <t>HSS</t>
  </si>
  <si>
    <t>7/11/2025</t>
  </si>
  <si>
    <t>足部</t>
  </si>
  <si>
    <t>安排啊茵</t>
  </si>
  <si>
    <t>茵</t>
  </si>
  <si>
    <t>安排栢如</t>
  </si>
  <si>
    <t>代取抽血樽</t>
  </si>
  <si>
    <t>取樽後先回DECC交給吳先生</t>
  </si>
  <si>
    <t>仲坪 /Croseby</t>
  </si>
  <si>
    <t>23/10/2025</t>
  </si>
  <si>
    <t>周小姐/Jan</t>
  </si>
  <si>
    <t>KAWAI/金</t>
  </si>
  <si>
    <t>QM(K大樓)</t>
  </si>
  <si>
    <t>超聱波血管支架檢查</t>
  </si>
  <si>
    <t>20/1/2026</t>
  </si>
  <si>
    <t>Mavis / 淑芬</t>
  </si>
  <si>
    <t>2025/8/1</t>
  </si>
  <si>
    <t>耳鼻喉科</t>
  </si>
  <si>
    <t>siuling</t>
  </si>
  <si>
    <t>MTR</t>
  </si>
  <si>
    <t>小金/Croseby</t>
  </si>
  <si>
    <t>GC</t>
  </si>
  <si>
    <t>E10外科病 (入院)</t>
  </si>
  <si>
    <t>8:30 接長者,請帶備鞋套!</t>
  </si>
  <si>
    <t>皮膚科</t>
  </si>
  <si>
    <t>易達巴來回 / 小巴來回</t>
  </si>
  <si>
    <t xml:space="preserve">提早1小時15分到案主家 </t>
  </si>
  <si>
    <t>Helen / 仲坪</t>
  </si>
  <si>
    <t>心臟科超聲波檢測</t>
  </si>
  <si>
    <t>的士去/回程小巴+MTR</t>
  </si>
  <si>
    <t>09:30接</t>
  </si>
  <si>
    <t>6/12/2024</t>
  </si>
  <si>
    <t>腎科</t>
  </si>
  <si>
    <t>鳳 / Mavis</t>
  </si>
  <si>
    <t>2025/12/3</t>
  </si>
  <si>
    <t>心臟科</t>
  </si>
  <si>
    <t>空腹</t>
  </si>
  <si>
    <t>KAWAI/翠君</t>
  </si>
  <si>
    <t>梓毅/寶芝</t>
  </si>
  <si>
    <t>非緊急來回</t>
  </si>
  <si>
    <t>梓毅/翠君</t>
  </si>
  <si>
    <t>柴灣浸信會社區健康中心</t>
  </si>
  <si>
    <t>牙科</t>
  </si>
  <si>
    <t>提早一小時到長者家接，帶:身份證、社署牙科保價表、70蚊</t>
  </si>
  <si>
    <t>10:00</t>
  </si>
  <si>
    <t>營養輔導</t>
  </si>
  <si>
    <t>14/10/2025</t>
  </si>
  <si>
    <t>9:00</t>
  </si>
  <si>
    <t>律敦治</t>
  </si>
  <si>
    <t>9/12/2025</t>
  </si>
  <si>
    <t>去銀行拎錢</t>
  </si>
  <si>
    <t>29/8/2025</t>
  </si>
  <si>
    <t>足部治療</t>
  </si>
  <si>
    <t>小巴站等 / 提早一小時接長者</t>
  </si>
  <si>
    <t>娥 / Mavis</t>
  </si>
  <si>
    <t>9/10/2025</t>
  </si>
  <si>
    <t>取消 / 更改覆診資料</t>
  </si>
  <si>
    <t>覆診日期</t>
  </si>
  <si>
    <t>取消 / 更改</t>
  </si>
  <si>
    <t>e.g.</t>
  </si>
  <si>
    <r>
      <rPr>
        <sz val="12"/>
        <color theme="1"/>
        <rFont val="Calibri"/>
        <family val="2"/>
      </rPr>
      <t>H</t>
    </r>
    <r>
      <rPr>
        <sz val="12"/>
        <color theme="1"/>
        <rFont val="微軟正黑體"/>
        <family val="2"/>
        <charset val="136"/>
      </rPr>
      <t>娥</t>
    </r>
    <phoneticPr fontId="21" type="noConversion"/>
  </si>
  <si>
    <t>L璋</t>
    <phoneticPr fontId="21" type="noConversion"/>
  </si>
  <si>
    <t>C禮</t>
    <phoneticPr fontId="21" type="noConversion"/>
  </si>
  <si>
    <t>W蘭</t>
    <phoneticPr fontId="21" type="noConversion"/>
  </si>
  <si>
    <t>H娥</t>
    <phoneticPr fontId="21" type="noConversion"/>
  </si>
  <si>
    <t>Y美</t>
    <phoneticPr fontId="21" type="noConversion"/>
  </si>
  <si>
    <t>AY娟</t>
    <phoneticPr fontId="21" type="noConversion"/>
  </si>
  <si>
    <t>L雄</t>
    <phoneticPr fontId="21" type="noConversion"/>
  </si>
  <si>
    <t>Y儀</t>
    <phoneticPr fontId="21" type="noConversion"/>
  </si>
  <si>
    <t>L芳</t>
    <phoneticPr fontId="21" type="noConversion"/>
  </si>
  <si>
    <t>L玲</t>
    <phoneticPr fontId="21" type="noConversion"/>
  </si>
  <si>
    <t>Y雲</t>
    <phoneticPr fontId="21" type="noConversion"/>
  </si>
  <si>
    <t>H基</t>
    <phoneticPr fontId="21" type="noConversion"/>
  </si>
  <si>
    <t>L桂</t>
    <phoneticPr fontId="21" type="noConversion"/>
  </si>
  <si>
    <t>L容</t>
    <phoneticPr fontId="21" type="noConversion"/>
  </si>
  <si>
    <t>Y芬</t>
    <phoneticPr fontId="21" type="noConversion"/>
  </si>
  <si>
    <t>N博</t>
    <phoneticPr fontId="21" type="noConversion"/>
  </si>
  <si>
    <t>L京</t>
    <phoneticPr fontId="21" type="noConversion"/>
  </si>
  <si>
    <t>C萍</t>
    <phoneticPr fontId="21" type="noConversion"/>
  </si>
  <si>
    <t>N漢</t>
    <phoneticPr fontId="21" type="noConversion"/>
  </si>
  <si>
    <t>L英</t>
    <phoneticPr fontId="21" type="noConversion"/>
  </si>
  <si>
    <t>H梅</t>
    <phoneticPr fontId="21" type="noConversion"/>
  </si>
  <si>
    <t>C健</t>
    <phoneticPr fontId="21" type="noConversion"/>
  </si>
  <si>
    <t>C蓮</t>
    <phoneticPr fontId="21" type="noConversion"/>
  </si>
  <si>
    <t>T金</t>
    <phoneticPr fontId="21" type="noConversion"/>
  </si>
  <si>
    <t>F華</t>
    <phoneticPr fontId="21" type="noConversion"/>
  </si>
  <si>
    <t>C娜</t>
    <phoneticPr fontId="21" type="noConversion"/>
  </si>
  <si>
    <t>Y傑</t>
    <phoneticPr fontId="21" type="noConversion"/>
  </si>
  <si>
    <t>L梅</t>
    <phoneticPr fontId="21" type="noConversion"/>
  </si>
  <si>
    <t>C霖</t>
    <phoneticPr fontId="21" type="noConversion"/>
  </si>
  <si>
    <t>Y萍</t>
    <phoneticPr fontId="21" type="noConversion"/>
  </si>
  <si>
    <t>L全</t>
    <phoneticPr fontId="21" type="noConversion"/>
  </si>
  <si>
    <t>W鈴</t>
    <phoneticPr fontId="21" type="noConversion"/>
  </si>
  <si>
    <t>l貞</t>
    <phoneticPr fontId="21" type="noConversion"/>
  </si>
  <si>
    <t>L葉</t>
    <phoneticPr fontId="21" type="noConversion"/>
  </si>
  <si>
    <t>A燕</t>
    <phoneticPr fontId="21" type="noConversion"/>
  </si>
  <si>
    <t>Y蓮</t>
    <phoneticPr fontId="21" type="noConversion"/>
  </si>
  <si>
    <t>L蘭</t>
    <phoneticPr fontId="21" type="noConversion"/>
  </si>
  <si>
    <t>A麗</t>
    <phoneticPr fontId="21" type="noConversion"/>
  </si>
  <si>
    <t>C森</t>
    <phoneticPr fontId="21" type="noConversion"/>
  </si>
  <si>
    <t>K蓮</t>
    <phoneticPr fontId="21" type="noConversion"/>
  </si>
  <si>
    <t>C翠</t>
    <phoneticPr fontId="21" type="noConversion"/>
  </si>
  <si>
    <t>T荷</t>
    <phoneticPr fontId="21" type="noConversion"/>
  </si>
  <si>
    <t>H槐</t>
    <phoneticPr fontId="21" type="noConversion"/>
  </si>
  <si>
    <t>T湖</t>
    <phoneticPr fontId="21" type="noConversion"/>
  </si>
  <si>
    <t>H美</t>
    <phoneticPr fontId="21" type="noConversion"/>
  </si>
  <si>
    <t>L珍</t>
    <phoneticPr fontId="21" type="noConversion"/>
  </si>
  <si>
    <t>N平</t>
    <phoneticPr fontId="21" type="noConversion"/>
  </si>
  <si>
    <t>H輝</t>
    <phoneticPr fontId="21" type="noConversion"/>
  </si>
  <si>
    <t>F萍</t>
    <phoneticPr fontId="21" type="noConversion"/>
  </si>
  <si>
    <t>T曉霖</t>
    <phoneticPr fontId="21" type="noConversion"/>
  </si>
  <si>
    <t>L聘</t>
    <phoneticPr fontId="21" type="noConversion"/>
  </si>
  <si>
    <t>W妹</t>
    <phoneticPr fontId="21" type="noConversion"/>
  </si>
  <si>
    <t>H媛</t>
    <phoneticPr fontId="21" type="noConversion"/>
  </si>
  <si>
    <t>AY麗娟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</si>
</sst>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&quot;年&quot;m&quot;月&quot;"/>
    <numFmt numFmtId="177" formatCode="d"/>
    <numFmt numFmtId="178" formatCode="yyyy/m/d"/>
    <numFmt numFmtId="179" formatCode="yyyy/mm/dd"/>
    <numFmt numFmtId="180" formatCode="dd\-mm\-yyyy"/>
    <numFmt numFmtId="181" formatCode="am/pm\ h:mm"/>
    <numFmt numFmtId="182" formatCode="d\-m\-yyyy"/>
    <numFmt numFmtId="183" formatCode="yy/m/d"/>
  </numFmts>
  <fonts count="24">
    <font>
      <sz val="12"/>
      <color rgb="FF000000"/>
      <name val="Calibri"/>
      <scheme val="minor"/>
    </font>
    <font>
      <b/>
      <sz val="12"/>
      <color theme="1"/>
      <name val="PMingLiu"/>
      <family val="1"/>
      <charset val="136"/>
    </font>
    <font>
      <b/>
      <sz val="12"/>
      <color theme="1"/>
      <name val="Times New Roman"/>
    </font>
    <font>
      <sz val="12"/>
      <color theme="1"/>
      <name val="PMingLiu"/>
      <family val="1"/>
      <charset val="136"/>
    </font>
    <font>
      <sz val="20"/>
      <color theme="1"/>
      <name val="PMingLiu"/>
      <family val="1"/>
      <charset val="136"/>
    </font>
    <font>
      <sz val="10"/>
      <color theme="1"/>
      <name val="PMingLiu"/>
      <family val="1"/>
      <charset val="136"/>
    </font>
    <font>
      <sz val="12"/>
      <color theme="1"/>
      <name val="Calibri"/>
    </font>
    <font>
      <sz val="12"/>
      <name val="Calibri"/>
    </font>
    <font>
      <sz val="12"/>
      <color theme="1"/>
      <name val="Times New Roman"/>
    </font>
    <font>
      <strike/>
      <sz val="12"/>
      <color theme="1"/>
      <name val="PMingLiu"/>
      <family val="1"/>
      <charset val="136"/>
    </font>
    <font>
      <strike/>
      <sz val="12"/>
      <color theme="1"/>
      <name val="Calibri"/>
    </font>
    <font>
      <sz val="12"/>
      <color theme="1"/>
      <name val="PMingLiu"/>
      <family val="1"/>
      <charset val="136"/>
    </font>
    <font>
      <sz val="12"/>
      <color theme="1"/>
      <name val="Calibri"/>
      <scheme val="minor"/>
    </font>
    <font>
      <sz val="12"/>
      <color rgb="FFFF0000"/>
      <name val="PMingLiu"/>
      <family val="1"/>
      <charset val="136"/>
    </font>
    <font>
      <sz val="12"/>
      <color theme="1"/>
      <name val="MingLiU"/>
      <family val="3"/>
      <charset val="136"/>
    </font>
    <font>
      <sz val="11"/>
      <color theme="1"/>
      <name val="PMingLiu"/>
      <family val="1"/>
      <charset val="136"/>
    </font>
    <font>
      <sz val="12"/>
      <color rgb="FF000000"/>
      <name val="Arial"/>
    </font>
    <font>
      <b/>
      <sz val="16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Wingdings"/>
    </font>
    <font>
      <sz val="9"/>
      <name val="Calibri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76" fontId="2" fillId="2" borderId="1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20" fontId="6" fillId="4" borderId="4" xfId="0" applyNumberFormat="1" applyFont="1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/>
    <xf numFmtId="20" fontId="6" fillId="5" borderId="2" xfId="0" applyNumberFormat="1" applyFont="1" applyFill="1" applyBorder="1"/>
    <xf numFmtId="20" fontId="3" fillId="4" borderId="2" xfId="0" applyNumberFormat="1" applyFont="1" applyFill="1" applyBorder="1"/>
    <xf numFmtId="14" fontId="3" fillId="4" borderId="2" xfId="0" applyNumberFormat="1" applyFont="1" applyFill="1" applyBorder="1"/>
    <xf numFmtId="0" fontId="6" fillId="4" borderId="2" xfId="0" applyFont="1" applyFill="1" applyBorder="1"/>
    <xf numFmtId="20" fontId="6" fillId="4" borderId="2" xfId="0" applyNumberFormat="1" applyFont="1" applyFill="1" applyBorder="1"/>
    <xf numFmtId="178" fontId="3" fillId="4" borderId="2" xfId="0" applyNumberFormat="1" applyFont="1" applyFill="1" applyBorder="1"/>
    <xf numFmtId="0" fontId="6" fillId="5" borderId="2" xfId="0" applyFont="1" applyFill="1" applyBorder="1"/>
    <xf numFmtId="20" fontId="3" fillId="5" borderId="2" xfId="0" applyNumberFormat="1" applyFont="1" applyFill="1" applyBorder="1"/>
    <xf numFmtId="179" fontId="3" fillId="5" borderId="2" xfId="0" applyNumberFormat="1" applyFont="1" applyFill="1" applyBorder="1"/>
    <xf numFmtId="177" fontId="4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78" fontId="3" fillId="5" borderId="2" xfId="0" applyNumberFormat="1" applyFont="1" applyFill="1" applyBorder="1"/>
    <xf numFmtId="0" fontId="3" fillId="4" borderId="0" xfId="0" applyFont="1" applyFill="1"/>
    <xf numFmtId="20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/>
    <xf numFmtId="0" fontId="8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10" fillId="4" borderId="2" xfId="0" applyFont="1" applyFill="1" applyBorder="1"/>
    <xf numFmtId="20" fontId="9" fillId="4" borderId="2" xfId="0" applyNumberFormat="1" applyFont="1" applyFill="1" applyBorder="1"/>
    <xf numFmtId="178" fontId="9" fillId="4" borderId="2" xfId="0" applyNumberFormat="1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20" fontId="3" fillId="5" borderId="2" xfId="0" applyNumberFormat="1" applyFont="1" applyFill="1" applyBorder="1" applyAlignment="1">
      <alignment horizontal="right"/>
    </xf>
    <xf numFmtId="49" fontId="3" fillId="5" borderId="2" xfId="0" applyNumberFormat="1" applyFont="1" applyFill="1" applyBorder="1"/>
    <xf numFmtId="0" fontId="3" fillId="4" borderId="8" xfId="0" applyFont="1" applyFill="1" applyBorder="1"/>
    <xf numFmtId="0" fontId="6" fillId="4" borderId="2" xfId="0" applyFont="1" applyFill="1" applyBorder="1" applyAlignment="1">
      <alignment horizontal="left"/>
    </xf>
    <xf numFmtId="20" fontId="3" fillId="4" borderId="9" xfId="0" applyNumberFormat="1" applyFont="1" applyFill="1" applyBorder="1" applyAlignment="1">
      <alignment horizontal="right"/>
    </xf>
    <xf numFmtId="0" fontId="6" fillId="4" borderId="8" xfId="0" applyFont="1" applyFill="1" applyBorder="1"/>
    <xf numFmtId="0" fontId="3" fillId="4" borderId="9" xfId="0" applyFont="1" applyFill="1" applyBorder="1"/>
    <xf numFmtId="0" fontId="6" fillId="4" borderId="9" xfId="0" applyFont="1" applyFill="1" applyBorder="1"/>
    <xf numFmtId="0" fontId="3" fillId="5" borderId="9" xfId="0" applyFont="1" applyFill="1" applyBorder="1"/>
    <xf numFmtId="14" fontId="3" fillId="5" borderId="2" xfId="0" applyNumberFormat="1" applyFont="1" applyFill="1" applyBorder="1"/>
    <xf numFmtId="177" fontId="4" fillId="0" borderId="10" xfId="0" applyNumberFormat="1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178" fontId="6" fillId="4" borderId="2" xfId="0" applyNumberFormat="1" applyFont="1" applyFill="1" applyBorder="1"/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/>
    <xf numFmtId="0" fontId="9" fillId="5" borderId="9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left"/>
    </xf>
    <xf numFmtId="0" fontId="10" fillId="5" borderId="2" xfId="0" applyFont="1" applyFill="1" applyBorder="1"/>
    <xf numFmtId="20" fontId="9" fillId="5" borderId="2" xfId="0" applyNumberFormat="1" applyFont="1" applyFill="1" applyBorder="1"/>
    <xf numFmtId="0" fontId="9" fillId="5" borderId="2" xfId="0" applyFont="1" applyFill="1" applyBorder="1"/>
    <xf numFmtId="179" fontId="9" fillId="5" borderId="2" xfId="0" applyNumberFormat="1" applyFont="1" applyFill="1" applyBorder="1"/>
    <xf numFmtId="0" fontId="5" fillId="6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center" vertical="center"/>
    </xf>
    <xf numFmtId="20" fontId="12" fillId="4" borderId="2" xfId="0" applyNumberFormat="1" applyFont="1" applyFill="1" applyBorder="1"/>
    <xf numFmtId="0" fontId="9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left"/>
    </xf>
    <xf numFmtId="20" fontId="3" fillId="4" borderId="9" xfId="0" applyNumberFormat="1" applyFont="1" applyFill="1" applyBorder="1"/>
    <xf numFmtId="0" fontId="5" fillId="5" borderId="2" xfId="0" applyFont="1" applyFill="1" applyBorder="1"/>
    <xf numFmtId="0" fontId="6" fillId="4" borderId="13" xfId="0" applyFont="1" applyFill="1" applyBorder="1"/>
    <xf numFmtId="20" fontId="13" fillId="4" borderId="2" xfId="0" applyNumberFormat="1" applyFont="1" applyFill="1" applyBorder="1"/>
    <xf numFmtId="0" fontId="9" fillId="5" borderId="2" xfId="0" applyFont="1" applyFill="1" applyBorder="1" applyAlignment="1">
      <alignment horizontal="center"/>
    </xf>
    <xf numFmtId="178" fontId="9" fillId="5" borderId="2" xfId="0" applyNumberFormat="1" applyFont="1" applyFill="1" applyBorder="1"/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/>
    <xf numFmtId="0" fontId="6" fillId="7" borderId="2" xfId="0" applyFont="1" applyFill="1" applyBorder="1" applyAlignment="1">
      <alignment horizontal="center"/>
    </xf>
    <xf numFmtId="20" fontId="6" fillId="7" borderId="9" xfId="0" applyNumberFormat="1" applyFont="1" applyFill="1" applyBorder="1"/>
    <xf numFmtId="49" fontId="3" fillId="4" borderId="2" xfId="0" applyNumberFormat="1" applyFont="1" applyFill="1" applyBorder="1" applyAlignment="1">
      <alignment horizontal="right"/>
    </xf>
    <xf numFmtId="0" fontId="3" fillId="7" borderId="8" xfId="0" applyFont="1" applyFill="1" applyBorder="1"/>
    <xf numFmtId="0" fontId="10" fillId="7" borderId="2" xfId="0" applyFont="1" applyFill="1" applyBorder="1" applyAlignment="1">
      <alignment horizontal="center"/>
    </xf>
    <xf numFmtId="20" fontId="10" fillId="7" borderId="9" xfId="0" applyNumberFormat="1" applyFont="1" applyFill="1" applyBorder="1"/>
    <xf numFmtId="0" fontId="9" fillId="4" borderId="6" xfId="0" applyFont="1" applyFill="1" applyBorder="1"/>
    <xf numFmtId="49" fontId="9" fillId="4" borderId="2" xfId="0" applyNumberFormat="1" applyFont="1" applyFill="1" applyBorder="1"/>
    <xf numFmtId="49" fontId="9" fillId="4" borderId="2" xfId="0" applyNumberFormat="1" applyFont="1" applyFill="1" applyBorder="1" applyAlignment="1">
      <alignment horizontal="right"/>
    </xf>
    <xf numFmtId="20" fontId="3" fillId="5" borderId="9" xfId="0" applyNumberFormat="1" applyFont="1" applyFill="1" applyBorder="1"/>
    <xf numFmtId="20" fontId="10" fillId="5" borderId="2" xfId="0" applyNumberFormat="1" applyFont="1" applyFill="1" applyBorder="1"/>
    <xf numFmtId="0" fontId="14" fillId="4" borderId="2" xfId="0" applyFont="1" applyFill="1" applyBorder="1"/>
    <xf numFmtId="0" fontId="3" fillId="4" borderId="6" xfId="0" applyFont="1" applyFill="1" applyBorder="1"/>
    <xf numFmtId="20" fontId="3" fillId="4" borderId="8" xfId="0" applyNumberFormat="1" applyFont="1" applyFill="1" applyBorder="1"/>
    <xf numFmtId="0" fontId="3" fillId="4" borderId="14" xfId="0" applyFont="1" applyFill="1" applyBorder="1"/>
    <xf numFmtId="180" fontId="3" fillId="4" borderId="2" xfId="0" applyNumberFormat="1" applyFont="1" applyFill="1" applyBorder="1"/>
    <xf numFmtId="0" fontId="3" fillId="4" borderId="15" xfId="0" applyFont="1" applyFill="1" applyBorder="1"/>
    <xf numFmtId="0" fontId="9" fillId="4" borderId="9" xfId="0" applyFont="1" applyFill="1" applyBorder="1"/>
    <xf numFmtId="20" fontId="9" fillId="4" borderId="9" xfId="0" applyNumberFormat="1" applyFont="1" applyFill="1" applyBorder="1"/>
    <xf numFmtId="0" fontId="9" fillId="4" borderId="15" xfId="0" applyFont="1" applyFill="1" applyBorder="1"/>
    <xf numFmtId="0" fontId="6" fillId="4" borderId="16" xfId="0" applyFont="1" applyFill="1" applyBorder="1"/>
    <xf numFmtId="20" fontId="3" fillId="4" borderId="16" xfId="0" applyNumberFormat="1" applyFont="1" applyFill="1" applyBorder="1"/>
    <xf numFmtId="178" fontId="3" fillId="4" borderId="2" xfId="0" applyNumberFormat="1" applyFont="1" applyFill="1" applyBorder="1" applyAlignment="1">
      <alignment horizontal="right"/>
    </xf>
    <xf numFmtId="0" fontId="3" fillId="5" borderId="8" xfId="0" applyFont="1" applyFill="1" applyBorder="1"/>
    <xf numFmtId="20" fontId="9" fillId="5" borderId="2" xfId="0" applyNumberFormat="1" applyFont="1" applyFill="1" applyBorder="1" applyAlignment="1">
      <alignment horizontal="right"/>
    </xf>
    <xf numFmtId="181" fontId="3" fillId="5" borderId="2" xfId="0" applyNumberFormat="1" applyFont="1" applyFill="1" applyBorder="1"/>
    <xf numFmtId="177" fontId="4" fillId="0" borderId="12" xfId="0" applyNumberFormat="1" applyFont="1" applyBorder="1" applyAlignment="1">
      <alignment horizontal="center" vertical="center"/>
    </xf>
    <xf numFmtId="0" fontId="6" fillId="7" borderId="2" xfId="0" applyFont="1" applyFill="1" applyBorder="1" applyAlignment="1">
      <alignment horizontal="left"/>
    </xf>
    <xf numFmtId="0" fontId="9" fillId="5" borderId="9" xfId="0" applyFont="1" applyFill="1" applyBorder="1"/>
    <xf numFmtId="20" fontId="9" fillId="5" borderId="9" xfId="0" applyNumberFormat="1" applyFont="1" applyFill="1" applyBorder="1"/>
    <xf numFmtId="0" fontId="6" fillId="4" borderId="17" xfId="0" applyFont="1" applyFill="1" applyBorder="1"/>
    <xf numFmtId="0" fontId="6" fillId="4" borderId="0" xfId="0" applyFont="1" applyFill="1"/>
    <xf numFmtId="177" fontId="4" fillId="0" borderId="11" xfId="0" applyNumberFormat="1" applyFont="1" applyBorder="1" applyAlignment="1">
      <alignment horizontal="center" vertical="center"/>
    </xf>
    <xf numFmtId="0" fontId="3" fillId="7" borderId="2" xfId="0" applyFont="1" applyFill="1" applyBorder="1"/>
    <xf numFmtId="0" fontId="6" fillId="7" borderId="2" xfId="0" applyFont="1" applyFill="1" applyBorder="1"/>
    <xf numFmtId="20" fontId="3" fillId="7" borderId="2" xfId="0" applyNumberFormat="1" applyFont="1" applyFill="1" applyBorder="1"/>
    <xf numFmtId="0" fontId="3" fillId="7" borderId="18" xfId="0" applyFont="1" applyFill="1" applyBorder="1"/>
    <xf numFmtId="178" fontId="3" fillId="7" borderId="2" xfId="0" applyNumberFormat="1" applyFont="1" applyFill="1" applyBorder="1"/>
    <xf numFmtId="0" fontId="6" fillId="4" borderId="18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18" xfId="0" applyFont="1" applyFill="1" applyBorder="1"/>
    <xf numFmtId="0" fontId="3" fillId="5" borderId="18" xfId="0" applyFont="1" applyFill="1" applyBorder="1"/>
    <xf numFmtId="49" fontId="3" fillId="5" borderId="18" xfId="0" applyNumberFormat="1" applyFont="1" applyFill="1" applyBorder="1"/>
    <xf numFmtId="49" fontId="3" fillId="4" borderId="9" xfId="0" applyNumberFormat="1" applyFont="1" applyFill="1" applyBorder="1"/>
    <xf numFmtId="178" fontId="3" fillId="4" borderId="8" xfId="0" applyNumberFormat="1" applyFont="1" applyFill="1" applyBorder="1" applyAlignment="1">
      <alignment horizontal="right"/>
    </xf>
    <xf numFmtId="20" fontId="6" fillId="4" borderId="3" xfId="0" applyNumberFormat="1" applyFont="1" applyFill="1" applyBorder="1"/>
    <xf numFmtId="0" fontId="3" fillId="4" borderId="5" xfId="0" applyFont="1" applyFill="1" applyBorder="1"/>
    <xf numFmtId="178" fontId="3" fillId="4" borderId="5" xfId="0" applyNumberFormat="1" applyFont="1" applyFill="1" applyBorder="1" applyAlignment="1">
      <alignment horizontal="right"/>
    </xf>
    <xf numFmtId="20" fontId="3" fillId="5" borderId="16" xfId="0" applyNumberFormat="1" applyFont="1" applyFill="1" applyBorder="1"/>
    <xf numFmtId="178" fontId="3" fillId="5" borderId="2" xfId="0" applyNumberFormat="1" applyFont="1" applyFill="1" applyBorder="1" applyAlignment="1">
      <alignment horizontal="right"/>
    </xf>
    <xf numFmtId="0" fontId="8" fillId="5" borderId="2" xfId="0" applyFont="1" applyFill="1" applyBorder="1"/>
    <xf numFmtId="20" fontId="6" fillId="4" borderId="13" xfId="0" applyNumberFormat="1" applyFont="1" applyFill="1" applyBorder="1"/>
    <xf numFmtId="182" fontId="3" fillId="4" borderId="8" xfId="0" applyNumberFormat="1" applyFont="1" applyFill="1" applyBorder="1" applyAlignment="1">
      <alignment horizontal="right"/>
    </xf>
    <xf numFmtId="49" fontId="3" fillId="5" borderId="2" xfId="0" applyNumberFormat="1" applyFont="1" applyFill="1" applyBorder="1" applyAlignment="1">
      <alignment horizontal="right"/>
    </xf>
    <xf numFmtId="0" fontId="9" fillId="5" borderId="15" xfId="0" applyFont="1" applyFill="1" applyBorder="1"/>
    <xf numFmtId="0" fontId="9" fillId="5" borderId="19" xfId="0" applyFont="1" applyFill="1" applyBorder="1"/>
    <xf numFmtId="49" fontId="9" fillId="5" borderId="19" xfId="0" applyNumberFormat="1" applyFont="1" applyFill="1" applyBorder="1"/>
    <xf numFmtId="182" fontId="9" fillId="5" borderId="19" xfId="0" applyNumberFormat="1" applyFont="1" applyFill="1" applyBorder="1" applyAlignment="1">
      <alignment horizontal="right"/>
    </xf>
    <xf numFmtId="0" fontId="9" fillId="5" borderId="20" xfId="0" applyFont="1" applyFill="1" applyBorder="1"/>
    <xf numFmtId="0" fontId="9" fillId="5" borderId="14" xfId="0" applyFont="1" applyFill="1" applyBorder="1"/>
    <xf numFmtId="49" fontId="9" fillId="5" borderId="14" xfId="0" applyNumberFormat="1" applyFont="1" applyFill="1" applyBorder="1"/>
    <xf numFmtId="182" fontId="9" fillId="5" borderId="14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left"/>
    </xf>
    <xf numFmtId="49" fontId="9" fillId="5" borderId="2" xfId="0" applyNumberFormat="1" applyFont="1" applyFill="1" applyBorder="1"/>
    <xf numFmtId="178" fontId="9" fillId="5" borderId="2" xfId="0" applyNumberFormat="1" applyFont="1" applyFill="1" applyBorder="1" applyAlignment="1">
      <alignment horizontal="right"/>
    </xf>
    <xf numFmtId="49" fontId="3" fillId="7" borderId="2" xfId="0" applyNumberFormat="1" applyFont="1" applyFill="1" applyBorder="1"/>
    <xf numFmtId="178" fontId="3" fillId="7" borderId="15" xfId="0" applyNumberFormat="1" applyFont="1" applyFill="1" applyBorder="1"/>
    <xf numFmtId="182" fontId="3" fillId="4" borderId="15" xfId="0" applyNumberFormat="1" applyFont="1" applyFill="1" applyBorder="1" applyAlignment="1">
      <alignment horizontal="right"/>
    </xf>
    <xf numFmtId="0" fontId="15" fillId="5" borderId="2" xfId="0" applyFont="1" applyFill="1" applyBorder="1"/>
    <xf numFmtId="182" fontId="3" fillId="5" borderId="15" xfId="0" applyNumberFormat="1" applyFont="1" applyFill="1" applyBorder="1" applyAlignment="1">
      <alignment horizontal="right"/>
    </xf>
    <xf numFmtId="0" fontId="6" fillId="4" borderId="15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right"/>
    </xf>
    <xf numFmtId="49" fontId="3" fillId="4" borderId="3" xfId="0" applyNumberFormat="1" applyFont="1" applyFill="1" applyBorder="1"/>
    <xf numFmtId="0" fontId="6" fillId="4" borderId="3" xfId="0" applyFont="1" applyFill="1" applyBorder="1"/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20" fontId="6" fillId="5" borderId="3" xfId="0" applyNumberFormat="1" applyFont="1" applyFill="1" applyBorder="1"/>
    <xf numFmtId="49" fontId="3" fillId="5" borderId="15" xfId="0" applyNumberFormat="1" applyFont="1" applyFill="1" applyBorder="1"/>
    <xf numFmtId="0" fontId="3" fillId="5" borderId="0" xfId="0" applyFont="1" applyFill="1"/>
    <xf numFmtId="0" fontId="16" fillId="7" borderId="21" xfId="0" applyFont="1" applyFill="1" applyBorder="1"/>
    <xf numFmtId="0" fontId="17" fillId="0" borderId="0" xfId="0" applyFont="1"/>
    <xf numFmtId="0" fontId="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78" fontId="3" fillId="9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20" fontId="3" fillId="9" borderId="2" xfId="0" applyNumberFormat="1" applyFont="1" applyFill="1" applyBorder="1" applyAlignment="1">
      <alignment horizontal="center"/>
    </xf>
    <xf numFmtId="178" fontId="3" fillId="8" borderId="4" xfId="0" applyNumberFormat="1" applyFont="1" applyFill="1" applyBorder="1" applyAlignment="1">
      <alignment horizontal="center"/>
    </xf>
    <xf numFmtId="0" fontId="3" fillId="9" borderId="2" xfId="0" applyFont="1" applyFill="1" applyBorder="1"/>
    <xf numFmtId="0" fontId="6" fillId="9" borderId="2" xfId="0" applyFont="1" applyFill="1" applyBorder="1"/>
    <xf numFmtId="20" fontId="3" fillId="9" borderId="2" xfId="0" applyNumberFormat="1" applyFont="1" applyFill="1" applyBorder="1"/>
    <xf numFmtId="178" fontId="3" fillId="9" borderId="2" xfId="0" applyNumberFormat="1" applyFont="1" applyFill="1" applyBorder="1"/>
    <xf numFmtId="14" fontId="3" fillId="9" borderId="2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83" fontId="3" fillId="9" borderId="2" xfId="0" applyNumberFormat="1" applyFont="1" applyFill="1" applyBorder="1" applyAlignment="1">
      <alignment horizontal="center"/>
    </xf>
    <xf numFmtId="0" fontId="3" fillId="9" borderId="9" xfId="0" applyFont="1" applyFill="1" applyBorder="1"/>
    <xf numFmtId="20" fontId="3" fillId="9" borderId="9" xfId="0" applyNumberFormat="1" applyFont="1" applyFill="1" applyBorder="1" applyAlignment="1">
      <alignment horizontal="right"/>
    </xf>
    <xf numFmtId="0" fontId="6" fillId="9" borderId="9" xfId="0" applyFont="1" applyFill="1" applyBorder="1"/>
    <xf numFmtId="178" fontId="3" fillId="9" borderId="2" xfId="0" applyNumberFormat="1" applyFont="1" applyFill="1" applyBorder="1" applyAlignment="1">
      <alignment horizontal="right"/>
    </xf>
    <xf numFmtId="20" fontId="6" fillId="9" borderId="2" xfId="0" applyNumberFormat="1" applyFont="1" applyFill="1" applyBorder="1"/>
    <xf numFmtId="0" fontId="6" fillId="9" borderId="15" xfId="0" applyFont="1" applyFill="1" applyBorder="1"/>
    <xf numFmtId="20" fontId="3" fillId="9" borderId="2" xfId="0" applyNumberFormat="1" applyFont="1" applyFill="1" applyBorder="1" applyAlignment="1">
      <alignment horizontal="right"/>
    </xf>
    <xf numFmtId="14" fontId="3" fillId="9" borderId="9" xfId="0" applyNumberFormat="1" applyFont="1" applyFill="1" applyBorder="1" applyAlignment="1">
      <alignment horizontal="center"/>
    </xf>
    <xf numFmtId="14" fontId="3" fillId="9" borderId="2" xfId="0" applyNumberFormat="1" applyFont="1" applyFill="1" applyBorder="1" applyAlignment="1">
      <alignment horizontal="right"/>
    </xf>
    <xf numFmtId="0" fontId="11" fillId="9" borderId="2" xfId="0" applyFont="1" applyFill="1" applyBorder="1"/>
    <xf numFmtId="20" fontId="11" fillId="9" borderId="2" xfId="0" applyNumberFormat="1" applyFont="1" applyFill="1" applyBorder="1"/>
    <xf numFmtId="14" fontId="3" fillId="9" borderId="2" xfId="0" applyNumberFormat="1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49" fontId="3" fillId="9" borderId="9" xfId="0" applyNumberFormat="1" applyFont="1" applyFill="1" applyBorder="1"/>
    <xf numFmtId="49" fontId="3" fillId="9" borderId="2" xfId="0" applyNumberFormat="1" applyFont="1" applyFill="1" applyBorder="1"/>
    <xf numFmtId="182" fontId="3" fillId="9" borderId="14" xfId="0" applyNumberFormat="1" applyFont="1" applyFill="1" applyBorder="1" applyAlignment="1">
      <alignment horizontal="right"/>
    </xf>
    <xf numFmtId="14" fontId="3" fillId="9" borderId="0" xfId="0" applyNumberFormat="1" applyFont="1" applyFill="1" applyAlignment="1">
      <alignment horizontal="center"/>
    </xf>
    <xf numFmtId="0" fontId="3" fillId="9" borderId="20" xfId="0" applyFont="1" applyFill="1" applyBorder="1"/>
    <xf numFmtId="0" fontId="3" fillId="9" borderId="14" xfId="0" applyFont="1" applyFill="1" applyBorder="1"/>
    <xf numFmtId="0" fontId="12" fillId="9" borderId="0" xfId="0" applyFont="1" applyFill="1"/>
    <xf numFmtId="0" fontId="3" fillId="9" borderId="0" xfId="0" applyFont="1" applyFill="1" applyAlignment="1">
      <alignment horizontal="left"/>
    </xf>
    <xf numFmtId="20" fontId="12" fillId="9" borderId="0" xfId="0" applyNumberFormat="1" applyFont="1" applyFill="1"/>
    <xf numFmtId="0" fontId="12" fillId="10" borderId="0" xfId="0" applyFont="1" applyFill="1"/>
    <xf numFmtId="20" fontId="12" fillId="10" borderId="0" xfId="0" applyNumberFormat="1" applyFont="1" applyFill="1"/>
    <xf numFmtId="177" fontId="4" fillId="0" borderId="3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5" xfId="0" applyFont="1" applyBorder="1"/>
    <xf numFmtId="177" fontId="4" fillId="0" borderId="10" xfId="0" applyNumberFormat="1" applyFont="1" applyBorder="1" applyAlignment="1">
      <alignment horizontal="center" vertical="center"/>
    </xf>
    <xf numFmtId="0" fontId="7" fillId="0" borderId="11" xfId="0" applyFont="1" applyBorder="1"/>
    <xf numFmtId="177" fontId="4" fillId="0" borderId="6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0" fontId="7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3" fillId="4" borderId="4" xfId="0" applyFont="1" applyFill="1" applyBorder="1"/>
  </cellXfs>
  <cellStyles count="1">
    <cellStyle name="一般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80"/>
  <sheetViews>
    <sheetView tabSelected="1" workbookViewId="0">
      <pane ySplit="5" topLeftCell="A6" activePane="bottomLeft" state="frozen"/>
      <selection pane="bottomLeft" activeCell="F171" sqref="F171"/>
    </sheetView>
  </sheetViews>
  <sheetFormatPr defaultColWidth="11.25" defaultRowHeight="15" customHeight="1"/>
  <cols>
    <col min="1" max="1" width="4.875" customWidth="1"/>
    <col min="2" max="2" width="5.5" customWidth="1"/>
    <col min="3" max="3" width="6.25" customWidth="1"/>
    <col min="4" max="4" width="9.75" customWidth="1"/>
    <col min="5" max="5" width="6.5" customWidth="1"/>
    <col min="6" max="6" width="7.75" customWidth="1"/>
    <col min="7" max="7" width="29.25" customWidth="1"/>
    <col min="8" max="8" width="18.625" customWidth="1"/>
    <col min="9" max="9" width="11.25" customWidth="1"/>
    <col min="10" max="10" width="44.25" customWidth="1"/>
    <col min="11" max="11" width="12.75" customWidth="1"/>
    <col min="12" max="12" width="11.625" customWidth="1"/>
    <col min="13" max="13" width="9.5" customWidth="1"/>
    <col min="14" max="26" width="5.25" customWidth="1"/>
  </cols>
  <sheetData>
    <row r="1" spans="1:16" ht="16.5" customHeight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6.5" customHeight="1">
      <c r="A2" s="1" t="s">
        <v>1</v>
      </c>
      <c r="B2" s="1"/>
      <c r="C2" s="2"/>
      <c r="D2" s="1"/>
      <c r="E2" s="1"/>
      <c r="F2" s="1"/>
      <c r="G2" s="1" t="s">
        <v>0</v>
      </c>
      <c r="H2" s="1"/>
      <c r="I2" s="1"/>
      <c r="J2" s="1"/>
      <c r="K2" s="1"/>
      <c r="L2" s="1"/>
      <c r="M2" s="1"/>
    </row>
    <row r="3" spans="1:16" ht="16.5" customHeight="1">
      <c r="A3" s="1" t="s">
        <v>2</v>
      </c>
      <c r="B3" s="1"/>
      <c r="C3" s="2"/>
      <c r="D3" s="1"/>
      <c r="E3" s="1"/>
      <c r="F3" s="1"/>
      <c r="G3" s="1"/>
      <c r="H3" s="1"/>
      <c r="I3" s="3"/>
      <c r="J3" s="4">
        <v>46023</v>
      </c>
      <c r="K3" s="203" t="s">
        <v>3</v>
      </c>
      <c r="L3" s="204"/>
      <c r="M3" s="3"/>
    </row>
    <row r="4" spans="1:16" ht="16.5" customHeight="1">
      <c r="A4" s="5"/>
      <c r="B4" s="5"/>
      <c r="C4" s="6"/>
      <c r="K4" s="3"/>
      <c r="L4" s="3"/>
      <c r="M4" s="3"/>
      <c r="O4" s="7"/>
    </row>
    <row r="5" spans="1:16" ht="16.5" customHeight="1">
      <c r="A5" s="8" t="s">
        <v>4</v>
      </c>
      <c r="B5" s="8"/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O5" s="7"/>
    </row>
    <row r="6" spans="1:16" ht="16.5" customHeight="1">
      <c r="A6" s="195">
        <f>J3</f>
        <v>46023</v>
      </c>
      <c r="B6" s="205" t="s">
        <v>16</v>
      </c>
      <c r="C6" s="9" t="s">
        <v>17</v>
      </c>
      <c r="D6" s="10"/>
      <c r="E6" s="11"/>
      <c r="F6" s="10"/>
      <c r="G6" s="10"/>
      <c r="H6" s="10"/>
      <c r="I6" s="10"/>
      <c r="J6" s="10"/>
      <c r="K6" s="10"/>
      <c r="L6" s="10"/>
      <c r="M6" s="10"/>
      <c r="O6" s="7"/>
    </row>
    <row r="7" spans="1:16" ht="16.5" customHeight="1">
      <c r="A7" s="197"/>
      <c r="B7" s="197"/>
      <c r="C7" s="12" t="s">
        <v>18</v>
      </c>
      <c r="D7" s="13"/>
      <c r="E7" s="14"/>
      <c r="F7" s="13"/>
      <c r="G7" s="13"/>
      <c r="H7" s="13"/>
      <c r="I7" s="13"/>
      <c r="J7" s="13"/>
      <c r="K7" s="13"/>
      <c r="L7" s="13"/>
      <c r="M7" s="13"/>
      <c r="O7" s="7"/>
    </row>
    <row r="8" spans="1:16" ht="16.5" customHeight="1">
      <c r="A8" s="195">
        <f>A6+1</f>
        <v>46024</v>
      </c>
      <c r="B8" s="206" t="s">
        <v>19</v>
      </c>
      <c r="C8" s="9" t="s">
        <v>17</v>
      </c>
      <c r="D8" s="209" t="s">
        <v>267</v>
      </c>
      <c r="E8" s="10" t="s">
        <v>20</v>
      </c>
      <c r="F8" s="15">
        <v>0.42708333333333331</v>
      </c>
      <c r="G8" s="10" t="s">
        <v>21</v>
      </c>
      <c r="H8" s="10" t="s">
        <v>22</v>
      </c>
      <c r="I8" s="10" t="s">
        <v>23</v>
      </c>
      <c r="J8" s="10" t="s">
        <v>24</v>
      </c>
      <c r="K8" s="10" t="s">
        <v>25</v>
      </c>
      <c r="L8" s="16">
        <v>45660</v>
      </c>
      <c r="M8" s="10"/>
      <c r="O8" s="7"/>
    </row>
    <row r="9" spans="1:16" ht="16.5" customHeight="1">
      <c r="A9" s="196"/>
      <c r="B9" s="196"/>
      <c r="C9" s="9" t="s">
        <v>17</v>
      </c>
      <c r="D9" s="10" t="s">
        <v>268</v>
      </c>
      <c r="E9" s="17" t="s">
        <v>20</v>
      </c>
      <c r="F9" s="18">
        <v>0.47222222222222221</v>
      </c>
      <c r="G9" s="10" t="s">
        <v>26</v>
      </c>
      <c r="H9" s="10" t="s">
        <v>27</v>
      </c>
      <c r="I9" s="10" t="s">
        <v>28</v>
      </c>
      <c r="J9" s="17"/>
      <c r="K9" s="10" t="s">
        <v>29</v>
      </c>
      <c r="L9" s="19">
        <v>45819</v>
      </c>
      <c r="M9" s="10"/>
      <c r="O9" s="7"/>
    </row>
    <row r="10" spans="1:16" ht="16.5" customHeight="1">
      <c r="A10" s="196"/>
      <c r="B10" s="196"/>
      <c r="C10" s="9" t="s">
        <v>17</v>
      </c>
      <c r="D10" s="10" t="s">
        <v>269</v>
      </c>
      <c r="E10" s="17" t="s">
        <v>30</v>
      </c>
      <c r="F10" s="18">
        <v>0.43055555555555558</v>
      </c>
      <c r="G10" s="10" t="s">
        <v>31</v>
      </c>
      <c r="H10" s="10" t="s">
        <v>32</v>
      </c>
      <c r="I10" s="10" t="s">
        <v>33</v>
      </c>
      <c r="J10" s="17"/>
      <c r="K10" s="10" t="s">
        <v>34</v>
      </c>
      <c r="L10" s="19">
        <v>45884</v>
      </c>
      <c r="M10" s="10"/>
      <c r="O10" s="7"/>
    </row>
    <row r="11" spans="1:16" ht="16.5" customHeight="1">
      <c r="A11" s="196"/>
      <c r="B11" s="196"/>
      <c r="C11" s="9" t="s">
        <v>17</v>
      </c>
      <c r="D11" s="10" t="s">
        <v>270</v>
      </c>
      <c r="E11" s="17" t="s">
        <v>30</v>
      </c>
      <c r="F11" s="18">
        <v>0.45833333333333331</v>
      </c>
      <c r="G11" s="10" t="s">
        <v>31</v>
      </c>
      <c r="H11" s="10" t="s">
        <v>32</v>
      </c>
      <c r="I11" s="10" t="s">
        <v>33</v>
      </c>
      <c r="J11" s="17"/>
      <c r="K11" s="10" t="s">
        <v>35</v>
      </c>
      <c r="L11" s="19">
        <v>45940</v>
      </c>
      <c r="M11" s="10"/>
      <c r="O11" s="7"/>
    </row>
    <row r="12" spans="1:16" ht="16.5" customHeight="1">
      <c r="A12" s="197"/>
      <c r="B12" s="197"/>
      <c r="C12" s="12" t="s">
        <v>18</v>
      </c>
      <c r="D12" s="13" t="s">
        <v>271</v>
      </c>
      <c r="E12" s="20" t="s">
        <v>20</v>
      </c>
      <c r="F12" s="21">
        <v>0.65972222222222221</v>
      </c>
      <c r="G12" s="13" t="s">
        <v>21</v>
      </c>
      <c r="H12" s="13" t="s">
        <v>36</v>
      </c>
      <c r="I12" s="13" t="s">
        <v>33</v>
      </c>
      <c r="J12" s="20"/>
      <c r="K12" s="13" t="s">
        <v>37</v>
      </c>
      <c r="L12" s="22">
        <v>45884</v>
      </c>
      <c r="M12" s="13"/>
      <c r="O12" s="7"/>
    </row>
    <row r="13" spans="1:16" ht="16.5" customHeight="1">
      <c r="A13" s="23"/>
      <c r="B13" s="24"/>
      <c r="C13" s="12" t="s">
        <v>18</v>
      </c>
      <c r="D13" s="13" t="s">
        <v>272</v>
      </c>
      <c r="E13" s="20" t="s">
        <v>20</v>
      </c>
      <c r="F13" s="21">
        <v>0.59375</v>
      </c>
      <c r="G13" s="13" t="s">
        <v>38</v>
      </c>
      <c r="H13" s="13" t="s">
        <v>39</v>
      </c>
      <c r="I13" s="13" t="s">
        <v>33</v>
      </c>
      <c r="J13" s="20" t="s">
        <v>40</v>
      </c>
      <c r="K13" s="13" t="s">
        <v>41</v>
      </c>
      <c r="L13" s="22">
        <v>46013</v>
      </c>
      <c r="M13" s="13"/>
      <c r="O13" s="7"/>
    </row>
    <row r="14" spans="1:16" ht="16.5" customHeight="1">
      <c r="A14" s="195">
        <f>A8+1</f>
        <v>46025</v>
      </c>
      <c r="B14" s="205" t="s">
        <v>42</v>
      </c>
      <c r="C14" s="9" t="s">
        <v>17</v>
      </c>
      <c r="D14" s="10"/>
      <c r="E14" s="18"/>
      <c r="F14" s="15"/>
      <c r="G14" s="10"/>
      <c r="H14" s="10"/>
      <c r="I14" s="10"/>
      <c r="J14" s="10"/>
      <c r="K14" s="10"/>
      <c r="L14" s="19"/>
      <c r="M14" s="19"/>
      <c r="O14" s="7"/>
      <c r="P14" s="7"/>
    </row>
    <row r="15" spans="1:16" ht="16.5" customHeight="1">
      <c r="A15" s="197"/>
      <c r="B15" s="197"/>
      <c r="C15" s="12" t="s">
        <v>18</v>
      </c>
      <c r="D15" s="13"/>
      <c r="E15" s="14"/>
      <c r="F15" s="21"/>
      <c r="G15" s="13"/>
      <c r="H15" s="13"/>
      <c r="I15" s="13"/>
      <c r="J15" s="13"/>
      <c r="K15" s="13"/>
      <c r="L15" s="25"/>
      <c r="M15" s="25"/>
    </row>
    <row r="16" spans="1:16" ht="16.5" customHeight="1">
      <c r="A16" s="195">
        <f>A14+1</f>
        <v>46026</v>
      </c>
      <c r="B16" s="205" t="s">
        <v>43</v>
      </c>
      <c r="C16" s="9" t="s">
        <v>17</v>
      </c>
      <c r="D16" s="10"/>
      <c r="E16" s="18"/>
      <c r="F16" s="15"/>
      <c r="G16" s="10"/>
      <c r="H16" s="10"/>
      <c r="I16" s="10"/>
      <c r="J16" s="10"/>
      <c r="K16" s="10"/>
      <c r="L16" s="19"/>
      <c r="M16" s="10"/>
    </row>
    <row r="17" spans="1:13" ht="16.5" customHeight="1">
      <c r="A17" s="197"/>
      <c r="B17" s="197"/>
      <c r="C17" s="12" t="s">
        <v>18</v>
      </c>
      <c r="D17" s="13"/>
      <c r="E17" s="14"/>
      <c r="F17" s="21"/>
      <c r="G17" s="13"/>
      <c r="H17" s="13"/>
      <c r="I17" s="13"/>
      <c r="J17" s="13"/>
      <c r="K17" s="13"/>
      <c r="L17" s="25"/>
      <c r="M17" s="25"/>
    </row>
    <row r="18" spans="1:13" ht="16.5" customHeight="1">
      <c r="A18" s="195">
        <f>A16+1</f>
        <v>46027</v>
      </c>
      <c r="B18" s="206" t="s">
        <v>44</v>
      </c>
      <c r="C18" s="9" t="s">
        <v>17</v>
      </c>
      <c r="D18" s="26" t="s">
        <v>273</v>
      </c>
      <c r="E18" s="18" t="s">
        <v>30</v>
      </c>
      <c r="F18" s="27">
        <v>0.4375</v>
      </c>
      <c r="G18" s="28" t="s">
        <v>45</v>
      </c>
      <c r="H18" s="28" t="s">
        <v>46</v>
      </c>
      <c r="I18" s="28" t="s">
        <v>33</v>
      </c>
      <c r="J18" s="10" t="s">
        <v>47</v>
      </c>
      <c r="K18" s="28" t="s">
        <v>48</v>
      </c>
      <c r="L18" s="19">
        <v>45656</v>
      </c>
      <c r="M18" s="19"/>
    </row>
    <row r="19" spans="1:13" ht="16.5" customHeight="1">
      <c r="A19" s="196"/>
      <c r="B19" s="196"/>
      <c r="C19" s="9" t="s">
        <v>17</v>
      </c>
      <c r="D19" s="10" t="s">
        <v>274</v>
      </c>
      <c r="E19" s="17" t="s">
        <v>20</v>
      </c>
      <c r="F19" s="15">
        <v>0.44791666666666669</v>
      </c>
      <c r="G19" s="10" t="s">
        <v>21</v>
      </c>
      <c r="H19" s="10" t="s">
        <v>36</v>
      </c>
      <c r="I19" s="10" t="s">
        <v>49</v>
      </c>
      <c r="J19" s="29"/>
      <c r="K19" s="10" t="s">
        <v>50</v>
      </c>
      <c r="L19" s="19">
        <v>45915</v>
      </c>
      <c r="M19" s="19"/>
    </row>
    <row r="20" spans="1:13" ht="16.5" customHeight="1">
      <c r="A20" s="196"/>
      <c r="B20" s="196"/>
      <c r="C20" s="30" t="s">
        <v>17</v>
      </c>
      <c r="D20" s="31"/>
      <c r="E20" s="32"/>
      <c r="F20" s="33"/>
      <c r="G20" s="31"/>
      <c r="H20" s="31"/>
      <c r="I20" s="31"/>
      <c r="J20" s="31"/>
      <c r="K20" s="31"/>
      <c r="L20" s="34"/>
      <c r="M20" s="19"/>
    </row>
    <row r="21" spans="1:13" ht="16.5" customHeight="1">
      <c r="A21" s="196"/>
      <c r="B21" s="196"/>
      <c r="C21" s="9" t="s">
        <v>17</v>
      </c>
      <c r="D21" s="10" t="s">
        <v>275</v>
      </c>
      <c r="E21" s="35" t="s">
        <v>53</v>
      </c>
      <c r="F21" s="15">
        <v>0.39583333333333331</v>
      </c>
      <c r="G21" s="10" t="s">
        <v>21</v>
      </c>
      <c r="H21" s="10" t="s">
        <v>54</v>
      </c>
      <c r="I21" s="28" t="s">
        <v>33</v>
      </c>
      <c r="J21" s="10"/>
      <c r="K21" s="10" t="s">
        <v>55</v>
      </c>
      <c r="L21" s="16">
        <v>45958</v>
      </c>
      <c r="M21" s="19"/>
    </row>
    <row r="22" spans="1:13" ht="16.5" customHeight="1">
      <c r="A22" s="197"/>
      <c r="B22" s="197"/>
      <c r="C22" s="12" t="s">
        <v>18</v>
      </c>
      <c r="D22" s="13" t="s">
        <v>276</v>
      </c>
      <c r="E22" s="36" t="s">
        <v>20</v>
      </c>
      <c r="F22" s="37">
        <v>0.6875</v>
      </c>
      <c r="G22" s="13" t="s">
        <v>56</v>
      </c>
      <c r="H22" s="20"/>
      <c r="I22" s="20"/>
      <c r="J22" s="13" t="s">
        <v>57</v>
      </c>
      <c r="K22" s="38" t="s">
        <v>41</v>
      </c>
      <c r="L22" s="38" t="s">
        <v>58</v>
      </c>
      <c r="M22" s="13"/>
    </row>
    <row r="23" spans="1:13" ht="16.5" customHeight="1">
      <c r="A23" s="195">
        <f>A18+1</f>
        <v>46028</v>
      </c>
      <c r="B23" s="206" t="s">
        <v>59</v>
      </c>
      <c r="C23" s="9" t="s">
        <v>17</v>
      </c>
      <c r="D23" s="10" t="s">
        <v>277</v>
      </c>
      <c r="E23" s="17" t="s">
        <v>20</v>
      </c>
      <c r="F23" s="15">
        <v>0.39583333333333331</v>
      </c>
      <c r="G23" s="10" t="s">
        <v>60</v>
      </c>
      <c r="H23" s="10" t="s">
        <v>61</v>
      </c>
      <c r="I23" s="10" t="s">
        <v>33</v>
      </c>
      <c r="J23" s="10" t="s">
        <v>62</v>
      </c>
      <c r="K23" s="10" t="s">
        <v>52</v>
      </c>
      <c r="L23" s="19">
        <v>46015</v>
      </c>
      <c r="M23" s="19"/>
    </row>
    <row r="24" spans="1:13" ht="16.5" customHeight="1">
      <c r="A24" s="196"/>
      <c r="B24" s="196"/>
      <c r="C24" s="9" t="s">
        <v>17</v>
      </c>
      <c r="D24" s="10" t="s">
        <v>278</v>
      </c>
      <c r="E24" s="17" t="s">
        <v>30</v>
      </c>
      <c r="F24" s="15">
        <v>0.41666666666666669</v>
      </c>
      <c r="G24" s="10" t="s">
        <v>63</v>
      </c>
      <c r="H24" s="28" t="s">
        <v>39</v>
      </c>
      <c r="I24" s="28" t="s">
        <v>33</v>
      </c>
      <c r="J24" s="10" t="s">
        <v>64</v>
      </c>
      <c r="K24" s="28" t="s">
        <v>65</v>
      </c>
      <c r="L24" s="28" t="s">
        <v>66</v>
      </c>
      <c r="M24" s="19"/>
    </row>
    <row r="25" spans="1:13" ht="16.5" customHeight="1">
      <c r="A25" s="196"/>
      <c r="B25" s="196"/>
      <c r="C25" s="12" t="s">
        <v>18</v>
      </c>
      <c r="D25" s="13" t="s">
        <v>279</v>
      </c>
      <c r="E25" s="20" t="s">
        <v>30</v>
      </c>
      <c r="F25" s="37">
        <v>0.67708333333333337</v>
      </c>
      <c r="G25" s="13" t="s">
        <v>51</v>
      </c>
      <c r="H25" s="13" t="s">
        <v>36</v>
      </c>
      <c r="I25" s="13" t="s">
        <v>67</v>
      </c>
      <c r="J25" s="13"/>
      <c r="K25" s="13" t="s">
        <v>68</v>
      </c>
      <c r="L25" s="25">
        <v>45932</v>
      </c>
      <c r="M25" s="25"/>
    </row>
    <row r="26" spans="1:13" ht="16.5" customHeight="1">
      <c r="A26" s="197"/>
      <c r="B26" s="197"/>
      <c r="C26" s="12" t="s">
        <v>18</v>
      </c>
      <c r="D26" s="13" t="s">
        <v>280</v>
      </c>
      <c r="E26" s="20" t="s">
        <v>20</v>
      </c>
      <c r="F26" s="37">
        <v>0.60416666666666663</v>
      </c>
      <c r="G26" s="13" t="s">
        <v>69</v>
      </c>
      <c r="H26" s="13" t="s">
        <v>36</v>
      </c>
      <c r="I26" s="13" t="s">
        <v>33</v>
      </c>
      <c r="J26" s="13"/>
      <c r="K26" s="13" t="s">
        <v>70</v>
      </c>
      <c r="L26" s="25">
        <v>45917</v>
      </c>
      <c r="M26" s="25"/>
    </row>
    <row r="27" spans="1:13" ht="15" customHeight="1">
      <c r="A27" s="195">
        <f>A23+1</f>
        <v>46029</v>
      </c>
      <c r="B27" s="206" t="s">
        <v>71</v>
      </c>
      <c r="C27" s="9" t="s">
        <v>17</v>
      </c>
      <c r="D27" s="39" t="s">
        <v>281</v>
      </c>
      <c r="E27" s="40" t="s">
        <v>30</v>
      </c>
      <c r="F27" s="41">
        <v>0.36458333333333331</v>
      </c>
      <c r="G27" s="39" t="s">
        <v>72</v>
      </c>
      <c r="H27" s="39" t="s">
        <v>73</v>
      </c>
      <c r="I27" s="39" t="s">
        <v>33</v>
      </c>
      <c r="J27" s="42"/>
      <c r="K27" s="42" t="s">
        <v>74</v>
      </c>
      <c r="L27" s="19">
        <v>45980</v>
      </c>
      <c r="M27" s="10"/>
    </row>
    <row r="28" spans="1:13" ht="16.5" customHeight="1">
      <c r="A28" s="196"/>
      <c r="B28" s="196"/>
      <c r="C28" s="9" t="s">
        <v>17</v>
      </c>
      <c r="D28" s="43" t="s">
        <v>282</v>
      </c>
      <c r="E28" s="17" t="s">
        <v>20</v>
      </c>
      <c r="F28" s="41">
        <v>0.38541666666666669</v>
      </c>
      <c r="G28" s="43" t="s">
        <v>21</v>
      </c>
      <c r="H28" s="43" t="s">
        <v>75</v>
      </c>
      <c r="I28" s="43" t="s">
        <v>33</v>
      </c>
      <c r="J28" s="44" t="s">
        <v>76</v>
      </c>
      <c r="K28" s="43" t="s">
        <v>77</v>
      </c>
      <c r="L28" s="19">
        <v>45988</v>
      </c>
      <c r="M28" s="19"/>
    </row>
    <row r="29" spans="1:13" ht="16.5" customHeight="1">
      <c r="A29" s="196"/>
      <c r="B29" s="196"/>
      <c r="C29" s="12" t="s">
        <v>18</v>
      </c>
      <c r="D29" s="13" t="s">
        <v>283</v>
      </c>
      <c r="E29" s="20" t="s">
        <v>20</v>
      </c>
      <c r="F29" s="37">
        <v>0.62847222222222221</v>
      </c>
      <c r="G29" s="45" t="s">
        <v>21</v>
      </c>
      <c r="H29" s="45" t="s">
        <v>78</v>
      </c>
      <c r="I29" s="45" t="s">
        <v>33</v>
      </c>
      <c r="J29" s="20"/>
      <c r="K29" s="13" t="s">
        <v>79</v>
      </c>
      <c r="L29" s="25">
        <v>45917</v>
      </c>
      <c r="M29" s="25"/>
    </row>
    <row r="30" spans="1:13" ht="16.5" customHeight="1">
      <c r="A30" s="197"/>
      <c r="B30" s="197"/>
      <c r="C30" s="12" t="s">
        <v>18</v>
      </c>
      <c r="D30" s="13" t="s">
        <v>284</v>
      </c>
      <c r="E30" s="20" t="s">
        <v>30</v>
      </c>
      <c r="F30" s="37">
        <v>0.66666666666666663</v>
      </c>
      <c r="G30" s="13" t="s">
        <v>80</v>
      </c>
      <c r="H30" s="20"/>
      <c r="I30" s="13" t="s">
        <v>67</v>
      </c>
      <c r="J30" s="20"/>
      <c r="K30" s="13" t="s">
        <v>74</v>
      </c>
      <c r="L30" s="46">
        <v>45904</v>
      </c>
      <c r="M30" s="25"/>
    </row>
    <row r="31" spans="1:13" ht="16.5" customHeight="1">
      <c r="A31" s="198">
        <f>A27+1</f>
        <v>46030</v>
      </c>
      <c r="B31" s="206" t="s">
        <v>16</v>
      </c>
      <c r="C31" s="48" t="s">
        <v>17</v>
      </c>
      <c r="D31" s="10" t="s">
        <v>274</v>
      </c>
      <c r="E31" s="17" t="s">
        <v>20</v>
      </c>
      <c r="F31" s="15">
        <v>0.39583333333333331</v>
      </c>
      <c r="G31" s="10" t="s">
        <v>81</v>
      </c>
      <c r="H31" s="10" t="s">
        <v>82</v>
      </c>
      <c r="I31" s="10" t="s">
        <v>83</v>
      </c>
      <c r="J31" s="17"/>
      <c r="K31" s="10" t="s">
        <v>84</v>
      </c>
      <c r="L31" s="19">
        <v>45847</v>
      </c>
      <c r="M31" s="49"/>
    </row>
    <row r="32" spans="1:13" ht="16.5" customHeight="1">
      <c r="A32" s="199"/>
      <c r="B32" s="196"/>
      <c r="C32" s="48" t="s">
        <v>17</v>
      </c>
      <c r="D32" s="10" t="s">
        <v>285</v>
      </c>
      <c r="E32" s="17" t="s">
        <v>30</v>
      </c>
      <c r="F32" s="15">
        <v>0.45833333333333331</v>
      </c>
      <c r="G32" s="10" t="s">
        <v>85</v>
      </c>
      <c r="H32" s="10" t="s">
        <v>86</v>
      </c>
      <c r="I32" s="10" t="s">
        <v>33</v>
      </c>
      <c r="J32" s="17"/>
      <c r="K32" s="10" t="s">
        <v>74</v>
      </c>
      <c r="L32" s="19">
        <v>46000</v>
      </c>
      <c r="M32" s="49"/>
    </row>
    <row r="33" spans="1:13" ht="16.5" customHeight="1">
      <c r="A33" s="199"/>
      <c r="B33" s="196"/>
      <c r="C33" s="48" t="s">
        <v>17</v>
      </c>
      <c r="D33" s="50" t="s">
        <v>286</v>
      </c>
      <c r="E33" s="17" t="s">
        <v>20</v>
      </c>
      <c r="F33" s="15">
        <v>0.45833333333333331</v>
      </c>
      <c r="G33" s="51" t="s">
        <v>21</v>
      </c>
      <c r="H33" s="51" t="s">
        <v>87</v>
      </c>
      <c r="I33" s="51" t="s">
        <v>88</v>
      </c>
      <c r="J33" s="10" t="s">
        <v>89</v>
      </c>
      <c r="K33" s="10" t="s">
        <v>90</v>
      </c>
      <c r="L33" s="19">
        <v>46003</v>
      </c>
      <c r="M33" s="49"/>
    </row>
    <row r="34" spans="1:13" ht="16.5" customHeight="1">
      <c r="A34" s="199"/>
      <c r="B34" s="196"/>
      <c r="C34" s="48" t="s">
        <v>17</v>
      </c>
      <c r="D34" s="50" t="s">
        <v>287</v>
      </c>
      <c r="E34" s="17" t="s">
        <v>30</v>
      </c>
      <c r="F34" s="15">
        <v>0.4375</v>
      </c>
      <c r="G34" s="51" t="s">
        <v>91</v>
      </c>
      <c r="H34" s="51" t="s">
        <v>82</v>
      </c>
      <c r="I34" s="51" t="s">
        <v>28</v>
      </c>
      <c r="J34" s="10"/>
      <c r="K34" s="10" t="s">
        <v>74</v>
      </c>
      <c r="L34" s="19">
        <v>46013</v>
      </c>
      <c r="M34" s="49"/>
    </row>
    <row r="35" spans="1:13" ht="16.5" customHeight="1">
      <c r="A35" s="199"/>
      <c r="B35" s="196"/>
      <c r="C35" s="52"/>
      <c r="D35" s="53"/>
      <c r="E35" s="54"/>
      <c r="F35" s="55"/>
      <c r="G35" s="56"/>
      <c r="H35" s="56"/>
      <c r="I35" s="56"/>
      <c r="J35" s="56"/>
      <c r="K35" s="56"/>
      <c r="L35" s="57"/>
      <c r="M35" s="13"/>
    </row>
    <row r="36" spans="1:13" ht="16.5" customHeight="1">
      <c r="A36" s="202"/>
      <c r="B36" s="58"/>
      <c r="C36" s="59" t="s">
        <v>18</v>
      </c>
      <c r="D36" s="60"/>
      <c r="E36" s="14"/>
      <c r="F36" s="13"/>
      <c r="G36" s="13"/>
      <c r="H36" s="13"/>
      <c r="I36" s="13"/>
      <c r="J36" s="13"/>
      <c r="K36" s="13"/>
      <c r="L36" s="13"/>
      <c r="M36" s="13"/>
    </row>
    <row r="37" spans="1:13" ht="16.5" customHeight="1">
      <c r="A37" s="195">
        <f>A31+1</f>
        <v>46031</v>
      </c>
      <c r="B37" s="207" t="s">
        <v>19</v>
      </c>
      <c r="C37" s="9" t="s">
        <v>17</v>
      </c>
      <c r="D37" s="50" t="s">
        <v>288</v>
      </c>
      <c r="E37" s="17" t="s">
        <v>20</v>
      </c>
      <c r="F37" s="15">
        <v>0.47916666666666669</v>
      </c>
      <c r="G37" s="10" t="s">
        <v>93</v>
      </c>
      <c r="H37" s="10" t="s">
        <v>36</v>
      </c>
      <c r="I37" s="10" t="s">
        <v>33</v>
      </c>
      <c r="J37" s="10"/>
      <c r="K37" s="10" t="s">
        <v>94</v>
      </c>
      <c r="L37" s="19">
        <v>45930</v>
      </c>
      <c r="M37" s="19"/>
    </row>
    <row r="38" spans="1:13" ht="16.5" customHeight="1">
      <c r="A38" s="196"/>
      <c r="B38" s="196"/>
      <c r="C38" s="9" t="s">
        <v>17</v>
      </c>
      <c r="D38" s="50" t="s">
        <v>289</v>
      </c>
      <c r="E38" s="17" t="s">
        <v>30</v>
      </c>
      <c r="F38" s="62">
        <v>0.4375</v>
      </c>
      <c r="G38" s="10" t="s">
        <v>31</v>
      </c>
      <c r="H38" s="10" t="s">
        <v>95</v>
      </c>
      <c r="I38" s="10" t="s">
        <v>67</v>
      </c>
      <c r="J38" s="10" t="s">
        <v>96</v>
      </c>
      <c r="K38" s="10" t="s">
        <v>97</v>
      </c>
      <c r="L38" s="19">
        <v>45901</v>
      </c>
      <c r="M38" s="19"/>
    </row>
    <row r="39" spans="1:13" ht="16.5" customHeight="1">
      <c r="A39" s="196"/>
      <c r="B39" s="196"/>
      <c r="C39" s="9" t="s">
        <v>17</v>
      </c>
      <c r="D39" s="50" t="s">
        <v>290</v>
      </c>
      <c r="E39" s="17" t="s">
        <v>30</v>
      </c>
      <c r="F39" s="62">
        <v>0.41666666666666669</v>
      </c>
      <c r="G39" s="10" t="s">
        <v>98</v>
      </c>
      <c r="H39" s="10" t="s">
        <v>87</v>
      </c>
      <c r="I39" s="10" t="s">
        <v>33</v>
      </c>
      <c r="J39" s="10"/>
      <c r="K39" s="10" t="s">
        <v>99</v>
      </c>
      <c r="L39" s="19">
        <v>46021</v>
      </c>
      <c r="M39" s="19"/>
    </row>
    <row r="40" spans="1:13" ht="16.5" customHeight="1">
      <c r="A40" s="196"/>
      <c r="B40" s="196"/>
      <c r="C40" s="63" t="s">
        <v>17</v>
      </c>
      <c r="D40" s="64" t="s">
        <v>290</v>
      </c>
      <c r="E40" s="32" t="s">
        <v>30</v>
      </c>
      <c r="F40" s="33">
        <v>0.47916666666666669</v>
      </c>
      <c r="G40" s="31" t="s">
        <v>72</v>
      </c>
      <c r="H40" s="31" t="s">
        <v>73</v>
      </c>
      <c r="I40" s="31" t="s">
        <v>67</v>
      </c>
      <c r="J40" s="31"/>
      <c r="K40" s="31" t="s">
        <v>74</v>
      </c>
      <c r="L40" s="34">
        <v>45933</v>
      </c>
      <c r="M40" s="19"/>
    </row>
    <row r="41" spans="1:13" ht="16.5" customHeight="1">
      <c r="A41" s="196"/>
      <c r="B41" s="196"/>
      <c r="C41" s="9" t="s">
        <v>17</v>
      </c>
      <c r="D41" s="50" t="s">
        <v>270</v>
      </c>
      <c r="E41" s="17" t="s">
        <v>30</v>
      </c>
      <c r="F41" s="15">
        <v>0.375</v>
      </c>
      <c r="G41" s="10" t="s">
        <v>100</v>
      </c>
      <c r="H41" s="10" t="s">
        <v>101</v>
      </c>
      <c r="I41" s="10" t="s">
        <v>33</v>
      </c>
      <c r="J41" s="10" t="s">
        <v>102</v>
      </c>
      <c r="K41" s="10" t="s">
        <v>103</v>
      </c>
      <c r="L41" s="19">
        <v>46028</v>
      </c>
      <c r="M41" s="19"/>
    </row>
    <row r="42" spans="1:13" ht="16.5" customHeight="1">
      <c r="A42" s="197"/>
      <c r="B42" s="197"/>
      <c r="C42" s="12"/>
      <c r="D42" s="60"/>
      <c r="E42" s="20"/>
      <c r="F42" s="21"/>
      <c r="G42" s="13"/>
      <c r="H42" s="13"/>
      <c r="I42" s="13"/>
      <c r="J42" s="13"/>
      <c r="K42" s="13"/>
      <c r="L42" s="25"/>
      <c r="M42" s="25"/>
    </row>
    <row r="43" spans="1:13" ht="16.5" customHeight="1">
      <c r="A43" s="195">
        <f>A37+1</f>
        <v>46032</v>
      </c>
      <c r="B43" s="205" t="s">
        <v>42</v>
      </c>
      <c r="C43" s="9" t="s">
        <v>17</v>
      </c>
      <c r="D43" s="10"/>
      <c r="E43" s="15"/>
      <c r="F43" s="65"/>
      <c r="G43" s="39"/>
      <c r="H43" s="39"/>
      <c r="I43" s="39"/>
      <c r="J43" s="10"/>
      <c r="K43" s="10"/>
      <c r="L43" s="19"/>
      <c r="M43" s="19"/>
    </row>
    <row r="44" spans="1:13" ht="16.5" customHeight="1">
      <c r="A44" s="197"/>
      <c r="B44" s="197"/>
      <c r="C44" s="12" t="s">
        <v>18</v>
      </c>
      <c r="D44" s="13"/>
      <c r="E44" s="14"/>
      <c r="F44" s="21"/>
      <c r="G44" s="13"/>
      <c r="H44" s="13"/>
      <c r="I44" s="13"/>
      <c r="J44" s="13"/>
      <c r="K44" s="13"/>
      <c r="L44" s="25"/>
      <c r="M44" s="25"/>
    </row>
    <row r="45" spans="1:13" ht="16.5" customHeight="1">
      <c r="A45" s="195">
        <f>A43+1</f>
        <v>46033</v>
      </c>
      <c r="B45" s="205" t="s">
        <v>43</v>
      </c>
      <c r="C45" s="9" t="s">
        <v>17</v>
      </c>
      <c r="D45" s="10"/>
      <c r="E45" s="11"/>
      <c r="F45" s="15"/>
      <c r="G45" s="10"/>
      <c r="H45" s="10"/>
      <c r="I45" s="10"/>
      <c r="J45" s="10"/>
      <c r="K45" s="10"/>
      <c r="L45" s="19"/>
      <c r="M45" s="19"/>
    </row>
    <row r="46" spans="1:13" ht="16.5" customHeight="1">
      <c r="A46" s="197"/>
      <c r="B46" s="197"/>
      <c r="C46" s="12" t="s">
        <v>18</v>
      </c>
      <c r="D46" s="13"/>
      <c r="E46" s="14"/>
      <c r="F46" s="21"/>
      <c r="G46" s="13"/>
      <c r="H46" s="66"/>
      <c r="I46" s="13"/>
      <c r="J46" s="13"/>
      <c r="K46" s="13"/>
      <c r="L46" s="25"/>
      <c r="M46" s="25"/>
    </row>
    <row r="47" spans="1:13" ht="16.5" customHeight="1">
      <c r="A47" s="195">
        <f>A45+1</f>
        <v>46034</v>
      </c>
      <c r="B47" s="206" t="s">
        <v>44</v>
      </c>
      <c r="C47" s="9" t="s">
        <v>17</v>
      </c>
      <c r="D47" s="10" t="s">
        <v>290</v>
      </c>
      <c r="E47" s="67" t="s">
        <v>30</v>
      </c>
      <c r="F47" s="15">
        <v>0.36458333333333331</v>
      </c>
      <c r="G47" s="10" t="s">
        <v>81</v>
      </c>
      <c r="H47" s="10" t="s">
        <v>82</v>
      </c>
      <c r="I47" s="10" t="s">
        <v>33</v>
      </c>
      <c r="J47" s="10"/>
      <c r="K47" s="10" t="s">
        <v>104</v>
      </c>
      <c r="L47" s="19">
        <v>45600</v>
      </c>
      <c r="M47" s="19"/>
    </row>
    <row r="48" spans="1:13" ht="16.5" customHeight="1">
      <c r="A48" s="196"/>
      <c r="B48" s="196"/>
      <c r="C48" s="9" t="s">
        <v>17</v>
      </c>
      <c r="D48" s="10" t="s">
        <v>291</v>
      </c>
      <c r="E48" s="17" t="s">
        <v>30</v>
      </c>
      <c r="F48" s="68">
        <v>0.41666666666666669</v>
      </c>
      <c r="G48" s="10" t="s">
        <v>81</v>
      </c>
      <c r="H48" s="10" t="s">
        <v>82</v>
      </c>
      <c r="I48" s="10" t="s">
        <v>33</v>
      </c>
      <c r="J48" s="10" t="s">
        <v>105</v>
      </c>
      <c r="K48" s="10" t="s">
        <v>106</v>
      </c>
      <c r="L48" s="19">
        <v>45852</v>
      </c>
      <c r="M48" s="19"/>
    </row>
    <row r="49" spans="1:13" ht="16.5" customHeight="1">
      <c r="A49" s="196"/>
      <c r="B49" s="196"/>
      <c r="C49" s="30" t="s">
        <v>17</v>
      </c>
      <c r="D49" s="31" t="s">
        <v>268</v>
      </c>
      <c r="E49" s="32" t="s">
        <v>20</v>
      </c>
      <c r="F49" s="33">
        <v>0.40625</v>
      </c>
      <c r="G49" s="31" t="s">
        <v>93</v>
      </c>
      <c r="H49" s="31" t="s">
        <v>107</v>
      </c>
      <c r="I49" s="31" t="s">
        <v>28</v>
      </c>
      <c r="J49" s="31" t="s">
        <v>108</v>
      </c>
      <c r="K49" s="31" t="s">
        <v>109</v>
      </c>
      <c r="L49" s="34">
        <v>45950</v>
      </c>
      <c r="M49" s="19"/>
    </row>
    <row r="50" spans="1:13" ht="16.5" customHeight="1">
      <c r="A50" s="196"/>
      <c r="B50" s="196"/>
      <c r="C50" s="12" t="s">
        <v>18</v>
      </c>
      <c r="D50" s="13" t="s">
        <v>290</v>
      </c>
      <c r="E50" s="20" t="s">
        <v>30</v>
      </c>
      <c r="F50" s="21">
        <v>0.58333333333333337</v>
      </c>
      <c r="G50" s="13" t="s">
        <v>110</v>
      </c>
      <c r="H50" s="13" t="s">
        <v>111</v>
      </c>
      <c r="I50" s="13" t="s">
        <v>33</v>
      </c>
      <c r="J50" s="13"/>
      <c r="K50" s="13" t="s">
        <v>74</v>
      </c>
      <c r="L50" s="25">
        <v>45985</v>
      </c>
      <c r="M50" s="25"/>
    </row>
    <row r="51" spans="1:13" ht="16.5" customHeight="1">
      <c r="A51" s="197"/>
      <c r="B51" s="197"/>
      <c r="C51" s="69" t="s">
        <v>18</v>
      </c>
      <c r="D51" s="56"/>
      <c r="E51" s="54"/>
      <c r="F51" s="55"/>
      <c r="G51" s="56"/>
      <c r="H51" s="56"/>
      <c r="I51" s="56"/>
      <c r="J51" s="56"/>
      <c r="K51" s="56"/>
      <c r="L51" s="70"/>
      <c r="M51" s="25"/>
    </row>
    <row r="52" spans="1:13" ht="16.5" customHeight="1">
      <c r="A52" s="23"/>
      <c r="B52" s="24"/>
      <c r="C52" s="71"/>
      <c r="D52" s="72" t="s">
        <v>278</v>
      </c>
      <c r="E52" s="73" t="s">
        <v>30</v>
      </c>
      <c r="F52" s="74">
        <v>0.46875</v>
      </c>
      <c r="G52" s="72" t="s">
        <v>63</v>
      </c>
      <c r="H52" s="72" t="s">
        <v>86</v>
      </c>
      <c r="I52" s="10" t="s">
        <v>33</v>
      </c>
      <c r="J52" s="72"/>
      <c r="K52" s="28" t="s">
        <v>106</v>
      </c>
      <c r="L52" s="75" t="s">
        <v>112</v>
      </c>
      <c r="M52" s="75"/>
    </row>
    <row r="53" spans="1:13" ht="16.5" customHeight="1">
      <c r="A53" s="195">
        <f>A47+1</f>
        <v>46035</v>
      </c>
      <c r="B53" s="206" t="s">
        <v>59</v>
      </c>
      <c r="C53" s="71" t="s">
        <v>17</v>
      </c>
      <c r="D53" s="76" t="s">
        <v>292</v>
      </c>
      <c r="E53" s="73" t="s">
        <v>30</v>
      </c>
      <c r="F53" s="74">
        <v>0.40625</v>
      </c>
      <c r="G53" s="76" t="s">
        <v>113</v>
      </c>
      <c r="H53" s="76" t="s">
        <v>114</v>
      </c>
      <c r="I53" s="76" t="s">
        <v>33</v>
      </c>
      <c r="J53" s="76"/>
      <c r="K53" s="28" t="s">
        <v>55</v>
      </c>
      <c r="L53" s="75" t="s">
        <v>115</v>
      </c>
      <c r="M53" s="75"/>
    </row>
    <row r="54" spans="1:13" ht="16.5" customHeight="1">
      <c r="A54" s="196"/>
      <c r="B54" s="196"/>
      <c r="C54" s="63" t="s">
        <v>17</v>
      </c>
      <c r="D54" s="31" t="s">
        <v>293</v>
      </c>
      <c r="E54" s="77" t="s">
        <v>20</v>
      </c>
      <c r="F54" s="78">
        <v>0.41666666666666669</v>
      </c>
      <c r="G54" s="31" t="s">
        <v>116</v>
      </c>
      <c r="H54" s="32"/>
      <c r="I54" s="79" t="s">
        <v>28</v>
      </c>
      <c r="J54" s="79" t="s">
        <v>117</v>
      </c>
      <c r="K54" s="80" t="s">
        <v>118</v>
      </c>
      <c r="L54" s="81" t="s">
        <v>119</v>
      </c>
      <c r="M54" s="75"/>
    </row>
    <row r="55" spans="1:13" ht="16.5" customHeight="1">
      <c r="A55" s="196"/>
      <c r="B55" s="196"/>
      <c r="C55" s="12" t="s">
        <v>18</v>
      </c>
      <c r="D55" s="13" t="s">
        <v>294</v>
      </c>
      <c r="E55" s="20" t="s">
        <v>30</v>
      </c>
      <c r="F55" s="82">
        <v>0.64583333333333337</v>
      </c>
      <c r="G55" s="13" t="s">
        <v>81</v>
      </c>
      <c r="H55" s="13" t="s">
        <v>82</v>
      </c>
      <c r="I55" s="13" t="s">
        <v>33</v>
      </c>
      <c r="J55" s="13"/>
      <c r="K55" s="13" t="s">
        <v>120</v>
      </c>
      <c r="L55" s="25">
        <v>46021</v>
      </c>
      <c r="M55" s="25"/>
    </row>
    <row r="56" spans="1:13" ht="16.5" customHeight="1">
      <c r="A56" s="196"/>
      <c r="B56" s="196"/>
      <c r="C56" s="12" t="s">
        <v>18</v>
      </c>
      <c r="D56" s="13" t="s">
        <v>281</v>
      </c>
      <c r="E56" s="20" t="s">
        <v>30</v>
      </c>
      <c r="F56" s="82">
        <v>0.58333333333333337</v>
      </c>
      <c r="G56" s="13" t="s">
        <v>113</v>
      </c>
      <c r="H56" s="13" t="s">
        <v>73</v>
      </c>
      <c r="I56" s="13" t="s">
        <v>33</v>
      </c>
      <c r="J56" s="13"/>
      <c r="K56" s="13" t="s">
        <v>121</v>
      </c>
      <c r="L56" s="25">
        <v>46029</v>
      </c>
      <c r="M56" s="25"/>
    </row>
    <row r="57" spans="1:13" ht="16.5" customHeight="1">
      <c r="A57" s="197"/>
      <c r="B57" s="197"/>
      <c r="C57" s="69" t="s">
        <v>18</v>
      </c>
      <c r="D57" s="56" t="s">
        <v>290</v>
      </c>
      <c r="E57" s="83" t="s">
        <v>30</v>
      </c>
      <c r="F57" s="55">
        <v>0.63541666666666663</v>
      </c>
      <c r="G57" s="56" t="s">
        <v>51</v>
      </c>
      <c r="H57" s="56" t="s">
        <v>122</v>
      </c>
      <c r="I57" s="56" t="s">
        <v>33</v>
      </c>
      <c r="J57" s="56"/>
      <c r="K57" s="56" t="s">
        <v>99</v>
      </c>
      <c r="L57" s="70">
        <v>45853</v>
      </c>
      <c r="M57" s="25"/>
    </row>
    <row r="58" spans="1:13" ht="16.5" customHeight="1">
      <c r="A58" s="195">
        <f>A53+1</f>
        <v>46036</v>
      </c>
      <c r="B58" s="206" t="s">
        <v>71</v>
      </c>
      <c r="C58" s="9" t="s">
        <v>17</v>
      </c>
      <c r="D58" s="10" t="s">
        <v>286</v>
      </c>
      <c r="E58" s="17" t="s">
        <v>20</v>
      </c>
      <c r="F58" s="15">
        <v>0.4375</v>
      </c>
      <c r="G58" s="29" t="s">
        <v>21</v>
      </c>
      <c r="H58" s="84" t="s">
        <v>123</v>
      </c>
      <c r="I58" s="10" t="s">
        <v>88</v>
      </c>
      <c r="J58" s="10"/>
      <c r="K58" s="10" t="s">
        <v>124</v>
      </c>
      <c r="L58" s="19">
        <v>45923</v>
      </c>
      <c r="M58" s="19"/>
    </row>
    <row r="59" spans="1:13" ht="16.5" customHeight="1">
      <c r="A59" s="196"/>
      <c r="B59" s="196"/>
      <c r="C59" s="9" t="s">
        <v>17</v>
      </c>
      <c r="D59" s="10" t="s">
        <v>293</v>
      </c>
      <c r="E59" s="17" t="s">
        <v>20</v>
      </c>
      <c r="F59" s="15">
        <v>0.41666666666666669</v>
      </c>
      <c r="G59" s="10" t="s">
        <v>116</v>
      </c>
      <c r="H59" s="17"/>
      <c r="I59" s="85" t="s">
        <v>28</v>
      </c>
      <c r="J59" s="85" t="s">
        <v>117</v>
      </c>
      <c r="K59" s="10" t="s">
        <v>118</v>
      </c>
      <c r="L59" s="19">
        <v>45980</v>
      </c>
      <c r="M59" s="19"/>
    </row>
    <row r="60" spans="1:13" ht="16.5" customHeight="1">
      <c r="A60" s="196"/>
      <c r="B60" s="196"/>
      <c r="C60" s="9" t="s">
        <v>17</v>
      </c>
      <c r="D60" s="10" t="s">
        <v>295</v>
      </c>
      <c r="E60" s="17" t="s">
        <v>30</v>
      </c>
      <c r="F60" s="15">
        <v>0.375</v>
      </c>
      <c r="G60" s="29" t="s">
        <v>51</v>
      </c>
      <c r="H60" s="84" t="s">
        <v>125</v>
      </c>
      <c r="I60" s="10" t="s">
        <v>33</v>
      </c>
      <c r="J60" s="10"/>
      <c r="K60" s="10" t="s">
        <v>126</v>
      </c>
      <c r="L60" s="10" t="s">
        <v>127</v>
      </c>
      <c r="M60" s="19"/>
    </row>
    <row r="61" spans="1:13" ht="16.5" customHeight="1">
      <c r="A61" s="196"/>
      <c r="B61" s="196"/>
      <c r="C61" s="12" t="s">
        <v>18</v>
      </c>
      <c r="D61" s="13" t="s">
        <v>284</v>
      </c>
      <c r="E61" s="20" t="s">
        <v>30</v>
      </c>
      <c r="F61" s="37">
        <v>0.66666666666666663</v>
      </c>
      <c r="G61" s="13" t="s">
        <v>80</v>
      </c>
      <c r="H61" s="20"/>
      <c r="I61" s="13" t="s">
        <v>67</v>
      </c>
      <c r="J61" s="20"/>
      <c r="K61" s="13" t="s">
        <v>74</v>
      </c>
      <c r="L61" s="46">
        <v>45904</v>
      </c>
      <c r="M61" s="13"/>
    </row>
    <row r="62" spans="1:13" ht="16.5" customHeight="1">
      <c r="A62" s="196"/>
      <c r="B62" s="196"/>
      <c r="C62" s="12" t="s">
        <v>18</v>
      </c>
      <c r="D62" s="13" t="s">
        <v>296</v>
      </c>
      <c r="E62" s="20" t="s">
        <v>20</v>
      </c>
      <c r="F62" s="21">
        <v>0.56944444444444442</v>
      </c>
      <c r="G62" s="13" t="s">
        <v>21</v>
      </c>
      <c r="H62" s="13" t="s">
        <v>82</v>
      </c>
      <c r="I62" s="13" t="s">
        <v>88</v>
      </c>
      <c r="J62" s="13" t="s">
        <v>128</v>
      </c>
      <c r="K62" s="13" t="s">
        <v>129</v>
      </c>
      <c r="L62" s="25">
        <v>45989</v>
      </c>
      <c r="M62" s="13"/>
    </row>
    <row r="63" spans="1:13" ht="16.5" customHeight="1">
      <c r="A63" s="197"/>
      <c r="B63" s="197"/>
      <c r="C63" s="12" t="s">
        <v>18</v>
      </c>
      <c r="D63" s="13" t="s">
        <v>296</v>
      </c>
      <c r="E63" s="20" t="s">
        <v>20</v>
      </c>
      <c r="F63" s="21">
        <v>0.60416666666666663</v>
      </c>
      <c r="G63" s="13" t="s">
        <v>21</v>
      </c>
      <c r="H63" s="13" t="s">
        <v>130</v>
      </c>
      <c r="I63" s="13" t="s">
        <v>88</v>
      </c>
      <c r="J63" s="13"/>
      <c r="K63" s="13" t="s">
        <v>131</v>
      </c>
      <c r="L63" s="25">
        <v>45825</v>
      </c>
      <c r="M63" s="13"/>
    </row>
    <row r="64" spans="1:13" ht="19.5" customHeight="1">
      <c r="A64" s="195">
        <f>A58+1</f>
        <v>46037</v>
      </c>
      <c r="B64" s="206" t="s">
        <v>16</v>
      </c>
      <c r="C64" s="9" t="s">
        <v>17</v>
      </c>
      <c r="D64" s="10" t="s">
        <v>297</v>
      </c>
      <c r="E64" s="39" t="s">
        <v>20</v>
      </c>
      <c r="F64" s="86">
        <v>0.4375</v>
      </c>
      <c r="G64" s="39" t="s">
        <v>132</v>
      </c>
      <c r="H64" s="39" t="s">
        <v>32</v>
      </c>
      <c r="I64" s="76" t="s">
        <v>33</v>
      </c>
      <c r="J64" s="87"/>
      <c r="K64" s="10" t="s">
        <v>133</v>
      </c>
      <c r="L64" s="88">
        <v>45901</v>
      </c>
      <c r="M64" s="10"/>
    </row>
    <row r="65" spans="1:13" ht="19.5" customHeight="1">
      <c r="A65" s="196"/>
      <c r="B65" s="196"/>
      <c r="C65" s="9" t="s">
        <v>17</v>
      </c>
      <c r="D65" s="10" t="s">
        <v>276</v>
      </c>
      <c r="E65" s="43" t="s">
        <v>20</v>
      </c>
      <c r="F65" s="43" t="s">
        <v>134</v>
      </c>
      <c r="G65" s="43" t="s">
        <v>135</v>
      </c>
      <c r="H65" s="43" t="s">
        <v>39</v>
      </c>
      <c r="I65" s="43" t="s">
        <v>136</v>
      </c>
      <c r="J65" s="89" t="s">
        <v>137</v>
      </c>
      <c r="K65" s="10" t="s">
        <v>138</v>
      </c>
      <c r="L65" s="19">
        <v>45960</v>
      </c>
      <c r="M65" s="10"/>
    </row>
    <row r="66" spans="1:13" ht="19.5" customHeight="1">
      <c r="A66" s="196"/>
      <c r="B66" s="196"/>
      <c r="C66" s="30" t="s">
        <v>17</v>
      </c>
      <c r="D66" s="31" t="s">
        <v>298</v>
      </c>
      <c r="E66" s="90" t="s">
        <v>20</v>
      </c>
      <c r="F66" s="91">
        <v>0.4375</v>
      </c>
      <c r="G66" s="31" t="s">
        <v>31</v>
      </c>
      <c r="H66" s="90" t="s">
        <v>139</v>
      </c>
      <c r="I66" s="31" t="s">
        <v>28</v>
      </c>
      <c r="J66" s="92"/>
      <c r="K66" s="31" t="s">
        <v>29</v>
      </c>
      <c r="L66" s="34">
        <v>45972</v>
      </c>
      <c r="M66" s="31"/>
    </row>
    <row r="67" spans="1:13" ht="19.5" customHeight="1">
      <c r="A67" s="196"/>
      <c r="B67" s="196"/>
      <c r="C67" s="9" t="s">
        <v>17</v>
      </c>
      <c r="D67" s="10" t="s">
        <v>299</v>
      </c>
      <c r="E67" s="43" t="s">
        <v>20</v>
      </c>
      <c r="F67" s="65">
        <v>0.41666666666666669</v>
      </c>
      <c r="G67" s="43" t="s">
        <v>21</v>
      </c>
      <c r="H67" s="43" t="s">
        <v>140</v>
      </c>
      <c r="I67" s="10" t="s">
        <v>88</v>
      </c>
      <c r="J67" s="89" t="s">
        <v>141</v>
      </c>
      <c r="K67" s="10" t="s">
        <v>142</v>
      </c>
      <c r="L67" s="19">
        <v>45944</v>
      </c>
      <c r="M67" s="10"/>
    </row>
    <row r="68" spans="1:13" ht="18" customHeight="1">
      <c r="A68" s="197"/>
      <c r="B68" s="197"/>
      <c r="C68" s="12" t="s">
        <v>18</v>
      </c>
      <c r="D68" s="13" t="s">
        <v>300</v>
      </c>
      <c r="E68" s="20" t="s">
        <v>30</v>
      </c>
      <c r="F68" s="21">
        <v>0.58333333333333337</v>
      </c>
      <c r="G68" s="13" t="s">
        <v>143</v>
      </c>
      <c r="H68" s="13" t="s">
        <v>87</v>
      </c>
      <c r="I68" s="13" t="s">
        <v>33</v>
      </c>
      <c r="J68" s="13" t="s">
        <v>144</v>
      </c>
      <c r="K68" s="13" t="s">
        <v>145</v>
      </c>
      <c r="L68" s="13" t="s">
        <v>146</v>
      </c>
      <c r="M68" s="25"/>
    </row>
    <row r="69" spans="1:13" ht="16.5" customHeight="1">
      <c r="A69" s="195">
        <f>A64+1</f>
        <v>46038</v>
      </c>
      <c r="B69" s="206" t="s">
        <v>19</v>
      </c>
      <c r="C69" s="9" t="s">
        <v>17</v>
      </c>
      <c r="D69" s="10" t="s">
        <v>268</v>
      </c>
      <c r="E69" s="17" t="s">
        <v>20</v>
      </c>
      <c r="F69" s="18">
        <v>0.47916666666666669</v>
      </c>
      <c r="G69" s="10" t="s">
        <v>147</v>
      </c>
      <c r="H69" s="10" t="s">
        <v>148</v>
      </c>
      <c r="I69" s="10" t="s">
        <v>28</v>
      </c>
      <c r="J69" s="17"/>
      <c r="K69" s="10" t="s">
        <v>29</v>
      </c>
      <c r="L69" s="19">
        <v>45783</v>
      </c>
      <c r="M69" s="19"/>
    </row>
    <row r="70" spans="1:13" ht="16.5" customHeight="1">
      <c r="A70" s="196"/>
      <c r="B70" s="196"/>
      <c r="C70" s="9" t="s">
        <v>17</v>
      </c>
      <c r="D70" s="10" t="s">
        <v>301</v>
      </c>
      <c r="E70" s="17" t="s">
        <v>20</v>
      </c>
      <c r="F70" s="18">
        <v>0.4375</v>
      </c>
      <c r="G70" s="43" t="s">
        <v>38</v>
      </c>
      <c r="H70" s="50" t="s">
        <v>95</v>
      </c>
      <c r="I70" s="10" t="s">
        <v>33</v>
      </c>
      <c r="J70" s="17" t="s">
        <v>149</v>
      </c>
      <c r="K70" s="10" t="s">
        <v>150</v>
      </c>
      <c r="L70" s="19">
        <v>45884</v>
      </c>
      <c r="M70" s="19"/>
    </row>
    <row r="71" spans="1:13" ht="16.5" customHeight="1">
      <c r="A71" s="196"/>
      <c r="B71" s="196"/>
      <c r="C71" s="9" t="s">
        <v>17</v>
      </c>
      <c r="D71" s="10" t="s">
        <v>302</v>
      </c>
      <c r="E71" s="93" t="s">
        <v>20</v>
      </c>
      <c r="F71" s="18">
        <v>0.41666666666666669</v>
      </c>
      <c r="G71" s="10" t="s">
        <v>151</v>
      </c>
      <c r="H71" s="10" t="s">
        <v>39</v>
      </c>
      <c r="I71" s="10" t="s">
        <v>28</v>
      </c>
      <c r="J71" s="10" t="s">
        <v>152</v>
      </c>
      <c r="K71" s="10" t="s">
        <v>153</v>
      </c>
      <c r="L71" s="19">
        <v>45961</v>
      </c>
      <c r="M71" s="19"/>
    </row>
    <row r="72" spans="1:13" ht="16.5" customHeight="1">
      <c r="A72" s="196"/>
      <c r="B72" s="196"/>
      <c r="C72" s="9" t="s">
        <v>17</v>
      </c>
      <c r="D72" s="10" t="s">
        <v>275</v>
      </c>
      <c r="E72" s="94" t="s">
        <v>53</v>
      </c>
      <c r="F72" s="27">
        <v>0.46875</v>
      </c>
      <c r="G72" s="10" t="s">
        <v>51</v>
      </c>
      <c r="H72" s="10" t="s">
        <v>154</v>
      </c>
      <c r="I72" s="10" t="s">
        <v>33</v>
      </c>
      <c r="J72" s="17" t="s">
        <v>39</v>
      </c>
      <c r="K72" s="10" t="s">
        <v>155</v>
      </c>
      <c r="L72" s="95">
        <v>45933</v>
      </c>
      <c r="M72" s="19"/>
    </row>
    <row r="73" spans="1:13" ht="16.5" customHeight="1">
      <c r="A73" s="196"/>
      <c r="B73" s="196"/>
      <c r="C73" s="12" t="s">
        <v>18</v>
      </c>
      <c r="D73" s="153" t="s">
        <v>289</v>
      </c>
      <c r="E73" s="20" t="s">
        <v>30</v>
      </c>
      <c r="F73" s="37">
        <v>0.58333333333333337</v>
      </c>
      <c r="G73" s="96" t="s">
        <v>113</v>
      </c>
      <c r="H73" s="13" t="s">
        <v>92</v>
      </c>
      <c r="I73" s="13" t="s">
        <v>67</v>
      </c>
      <c r="J73" s="54"/>
      <c r="K73" s="13" t="s">
        <v>145</v>
      </c>
      <c r="L73" s="13" t="s">
        <v>146</v>
      </c>
      <c r="M73" s="25"/>
    </row>
    <row r="74" spans="1:13" ht="16.5" customHeight="1">
      <c r="A74" s="196"/>
      <c r="B74" s="196"/>
      <c r="C74" s="69" t="s">
        <v>18</v>
      </c>
      <c r="D74" s="56" t="s">
        <v>303</v>
      </c>
      <c r="E74" s="54" t="s">
        <v>20</v>
      </c>
      <c r="F74" s="97">
        <v>0.58333333333333337</v>
      </c>
      <c r="G74" s="56" t="s">
        <v>38</v>
      </c>
      <c r="H74" s="56" t="s">
        <v>156</v>
      </c>
      <c r="I74" s="56" t="s">
        <v>33</v>
      </c>
      <c r="J74" s="54" t="s">
        <v>157</v>
      </c>
      <c r="K74" s="56" t="s">
        <v>158</v>
      </c>
      <c r="L74" s="70">
        <v>46013</v>
      </c>
      <c r="M74" s="25"/>
    </row>
    <row r="75" spans="1:13" ht="16.5" customHeight="1">
      <c r="A75" s="197"/>
      <c r="B75" s="197"/>
      <c r="C75" s="69" t="s">
        <v>18</v>
      </c>
      <c r="D75" s="56" t="s">
        <v>298</v>
      </c>
      <c r="E75" s="54" t="s">
        <v>20</v>
      </c>
      <c r="F75" s="97">
        <v>0.63194444444444442</v>
      </c>
      <c r="G75" s="56" t="s">
        <v>31</v>
      </c>
      <c r="H75" s="56" t="s">
        <v>159</v>
      </c>
      <c r="I75" s="56" t="s">
        <v>28</v>
      </c>
      <c r="J75" s="54"/>
      <c r="K75" s="56" t="s">
        <v>160</v>
      </c>
      <c r="L75" s="70">
        <v>45901</v>
      </c>
      <c r="M75" s="70"/>
    </row>
    <row r="76" spans="1:13" ht="16.5" customHeight="1">
      <c r="A76" s="195">
        <f>A69+1</f>
        <v>46039</v>
      </c>
      <c r="B76" s="205" t="s">
        <v>42</v>
      </c>
      <c r="C76" s="9" t="s">
        <v>17</v>
      </c>
      <c r="D76" s="26" t="s">
        <v>289</v>
      </c>
      <c r="E76" s="17" t="s">
        <v>30</v>
      </c>
      <c r="F76" s="15">
        <v>0.50694444444444442</v>
      </c>
      <c r="G76" s="10" t="s">
        <v>31</v>
      </c>
      <c r="H76" s="10" t="s">
        <v>95</v>
      </c>
      <c r="I76" s="10" t="s">
        <v>67</v>
      </c>
      <c r="J76" s="10"/>
      <c r="K76" s="10" t="s">
        <v>97</v>
      </c>
      <c r="L76" s="19">
        <v>45901</v>
      </c>
      <c r="M76" s="10"/>
    </row>
    <row r="77" spans="1:13" ht="16.5" customHeight="1">
      <c r="A77" s="197"/>
      <c r="B77" s="197"/>
      <c r="C77" s="12" t="s">
        <v>18</v>
      </c>
      <c r="D77" s="13"/>
      <c r="E77" s="20"/>
      <c r="F77" s="98"/>
      <c r="G77" s="13"/>
      <c r="H77" s="13"/>
      <c r="I77" s="13"/>
      <c r="J77" s="13"/>
      <c r="K77" s="13"/>
      <c r="L77" s="25"/>
      <c r="M77" s="13"/>
    </row>
    <row r="78" spans="1:13" ht="16.5" customHeight="1">
      <c r="A78" s="195">
        <f>A76+1</f>
        <v>46040</v>
      </c>
      <c r="B78" s="205" t="s">
        <v>43</v>
      </c>
      <c r="C78" s="9" t="s">
        <v>17</v>
      </c>
      <c r="D78" s="10"/>
      <c r="E78" s="11"/>
      <c r="F78" s="15"/>
      <c r="G78" s="10"/>
      <c r="H78" s="10"/>
      <c r="I78" s="10"/>
      <c r="J78" s="10"/>
      <c r="K78" s="10"/>
      <c r="L78" s="19"/>
      <c r="M78" s="19"/>
    </row>
    <row r="79" spans="1:13" ht="16.5" customHeight="1">
      <c r="A79" s="197"/>
      <c r="B79" s="197"/>
      <c r="C79" s="12" t="s">
        <v>18</v>
      </c>
      <c r="D79" s="13"/>
      <c r="E79" s="14"/>
      <c r="F79" s="21"/>
      <c r="G79" s="13"/>
      <c r="H79" s="13"/>
      <c r="I79" s="13"/>
      <c r="J79" s="13"/>
      <c r="K79" s="13"/>
      <c r="L79" s="25"/>
      <c r="M79" s="25"/>
    </row>
    <row r="80" spans="1:13" ht="16.5" customHeight="1">
      <c r="A80" s="198">
        <f>A78+1</f>
        <v>46041</v>
      </c>
      <c r="B80" s="206" t="s">
        <v>44</v>
      </c>
      <c r="C80" s="9" t="s">
        <v>17</v>
      </c>
      <c r="D80" s="10" t="s">
        <v>304</v>
      </c>
      <c r="E80" s="17" t="s">
        <v>20</v>
      </c>
      <c r="F80" s="15">
        <v>0.44444444444444442</v>
      </c>
      <c r="G80" s="10" t="s">
        <v>21</v>
      </c>
      <c r="H80" s="10" t="s">
        <v>36</v>
      </c>
      <c r="I80" s="10" t="s">
        <v>33</v>
      </c>
      <c r="J80" s="17" t="s">
        <v>157</v>
      </c>
      <c r="K80" s="10" t="s">
        <v>161</v>
      </c>
      <c r="L80" s="16">
        <v>45988</v>
      </c>
      <c r="M80" s="19"/>
    </row>
    <row r="81" spans="1:13" ht="16.5" customHeight="1">
      <c r="A81" s="199"/>
      <c r="B81" s="196"/>
      <c r="C81" s="9" t="s">
        <v>17</v>
      </c>
      <c r="D81" s="10" t="s">
        <v>274</v>
      </c>
      <c r="E81" s="17" t="s">
        <v>20</v>
      </c>
      <c r="F81" s="15">
        <v>0.42708333333333331</v>
      </c>
      <c r="G81" s="10" t="s">
        <v>21</v>
      </c>
      <c r="H81" s="10" t="s">
        <v>162</v>
      </c>
      <c r="I81" s="10" t="s">
        <v>49</v>
      </c>
      <c r="J81" s="29"/>
      <c r="K81" s="10" t="s">
        <v>163</v>
      </c>
      <c r="L81" s="19">
        <v>46027</v>
      </c>
      <c r="M81" s="19"/>
    </row>
    <row r="82" spans="1:13" ht="16.5" customHeight="1">
      <c r="A82" s="199"/>
      <c r="B82" s="196"/>
      <c r="C82" s="12" t="s">
        <v>18</v>
      </c>
      <c r="D82" s="13" t="s">
        <v>281</v>
      </c>
      <c r="E82" s="20" t="s">
        <v>30</v>
      </c>
      <c r="F82" s="21">
        <v>0.625</v>
      </c>
      <c r="G82" s="13" t="s">
        <v>31</v>
      </c>
      <c r="H82" s="13" t="s">
        <v>164</v>
      </c>
      <c r="I82" s="13" t="s">
        <v>33</v>
      </c>
      <c r="J82" s="13"/>
      <c r="K82" s="13" t="s">
        <v>165</v>
      </c>
      <c r="L82" s="25">
        <v>45927</v>
      </c>
      <c r="M82" s="25"/>
    </row>
    <row r="83" spans="1:13" ht="16.5" customHeight="1">
      <c r="A83" s="199"/>
      <c r="B83" s="196"/>
      <c r="C83" s="12" t="s">
        <v>18</v>
      </c>
      <c r="D83" s="13" t="s">
        <v>290</v>
      </c>
      <c r="E83" s="20" t="s">
        <v>30</v>
      </c>
      <c r="F83" s="21">
        <v>0.63541666666666663</v>
      </c>
      <c r="G83" s="13" t="s">
        <v>93</v>
      </c>
      <c r="H83" s="13" t="s">
        <v>27</v>
      </c>
      <c r="I83" s="13" t="s">
        <v>166</v>
      </c>
      <c r="J83" s="13"/>
      <c r="K83" s="13" t="s">
        <v>74</v>
      </c>
      <c r="L83" s="25">
        <v>45909</v>
      </c>
      <c r="M83" s="25"/>
    </row>
    <row r="84" spans="1:13" ht="16.5" customHeight="1">
      <c r="A84" s="199"/>
      <c r="B84" s="196"/>
      <c r="C84" s="12" t="s">
        <v>18</v>
      </c>
      <c r="D84" s="13" t="s">
        <v>275</v>
      </c>
      <c r="E84" s="20" t="s">
        <v>53</v>
      </c>
      <c r="F84" s="21">
        <v>0.10416666666666667</v>
      </c>
      <c r="G84" s="13" t="s">
        <v>51</v>
      </c>
      <c r="H84" s="13" t="s">
        <v>27</v>
      </c>
      <c r="I84" s="13" t="s">
        <v>33</v>
      </c>
      <c r="J84" s="13" t="s">
        <v>167</v>
      </c>
      <c r="K84" s="13" t="s">
        <v>168</v>
      </c>
      <c r="L84" s="25">
        <v>45677</v>
      </c>
      <c r="M84" s="25"/>
    </row>
    <row r="85" spans="1:13" ht="16.5" customHeight="1">
      <c r="A85" s="99"/>
      <c r="B85" s="197"/>
      <c r="C85" s="12" t="s">
        <v>18</v>
      </c>
      <c r="D85" s="13" t="s">
        <v>298</v>
      </c>
      <c r="E85" s="20" t="s">
        <v>20</v>
      </c>
      <c r="F85" s="21">
        <v>0.64583333333333337</v>
      </c>
      <c r="G85" s="13" t="s">
        <v>81</v>
      </c>
      <c r="H85" s="13" t="s">
        <v>169</v>
      </c>
      <c r="I85" s="13" t="s">
        <v>33</v>
      </c>
      <c r="J85" s="13" t="s">
        <v>170</v>
      </c>
      <c r="K85" s="38" t="s">
        <v>171</v>
      </c>
      <c r="L85" s="25">
        <v>45833</v>
      </c>
      <c r="M85" s="25"/>
    </row>
    <row r="86" spans="1:13" ht="16.5" customHeight="1">
      <c r="A86" s="200">
        <f>A80+1</f>
        <v>46042</v>
      </c>
      <c r="B86" s="206" t="s">
        <v>59</v>
      </c>
      <c r="C86" s="9" t="s">
        <v>17</v>
      </c>
      <c r="D86" s="76" t="s">
        <v>292</v>
      </c>
      <c r="E86" s="100" t="s">
        <v>30</v>
      </c>
      <c r="F86" s="74">
        <v>0.4375</v>
      </c>
      <c r="G86" s="76" t="s">
        <v>113</v>
      </c>
      <c r="H86" s="76" t="s">
        <v>114</v>
      </c>
      <c r="I86" s="76" t="s">
        <v>33</v>
      </c>
      <c r="J86" s="76"/>
      <c r="K86" s="28" t="s">
        <v>65</v>
      </c>
      <c r="L86" s="75" t="s">
        <v>172</v>
      </c>
      <c r="M86" s="19"/>
    </row>
    <row r="87" spans="1:13" ht="16.5" customHeight="1">
      <c r="A87" s="196"/>
      <c r="B87" s="196"/>
      <c r="C87" s="69" t="s">
        <v>18</v>
      </c>
      <c r="D87" s="101" t="s">
        <v>305</v>
      </c>
      <c r="E87" s="54" t="s">
        <v>30</v>
      </c>
      <c r="F87" s="102">
        <v>0.58333333333333337</v>
      </c>
      <c r="G87" s="101" t="s">
        <v>173</v>
      </c>
      <c r="H87" s="101" t="s">
        <v>174</v>
      </c>
      <c r="I87" s="101" t="s">
        <v>67</v>
      </c>
      <c r="J87" s="101"/>
      <c r="K87" s="56" t="s">
        <v>175</v>
      </c>
      <c r="L87" s="70">
        <v>46013</v>
      </c>
      <c r="M87" s="25"/>
    </row>
    <row r="88" spans="1:13" ht="16.5" customHeight="1">
      <c r="A88" s="196"/>
      <c r="B88" s="196"/>
      <c r="C88" s="12" t="s">
        <v>18</v>
      </c>
      <c r="D88" s="45" t="s">
        <v>269</v>
      </c>
      <c r="E88" s="54" t="s">
        <v>30</v>
      </c>
      <c r="F88" s="82">
        <v>0.66666666666666663</v>
      </c>
      <c r="G88" s="45" t="s">
        <v>176</v>
      </c>
      <c r="H88" s="45" t="s">
        <v>177</v>
      </c>
      <c r="I88" s="45" t="s">
        <v>67</v>
      </c>
      <c r="J88" s="45" t="s">
        <v>178</v>
      </c>
      <c r="K88" s="13" t="s">
        <v>74</v>
      </c>
      <c r="L88" s="25">
        <v>46035</v>
      </c>
      <c r="M88" s="25"/>
    </row>
    <row r="89" spans="1:13" ht="16.5" customHeight="1">
      <c r="A89" s="197"/>
      <c r="B89" s="197"/>
      <c r="C89" s="69" t="s">
        <v>18</v>
      </c>
      <c r="D89" s="56" t="s">
        <v>298</v>
      </c>
      <c r="E89" s="54" t="s">
        <v>20</v>
      </c>
      <c r="F89" s="55">
        <v>0.64583333333333337</v>
      </c>
      <c r="G89" s="56" t="s">
        <v>81</v>
      </c>
      <c r="H89" s="56" t="s">
        <v>82</v>
      </c>
      <c r="I89" s="56" t="s">
        <v>33</v>
      </c>
      <c r="J89" s="56" t="s">
        <v>170</v>
      </c>
      <c r="K89" s="56" t="s">
        <v>179</v>
      </c>
      <c r="L89" s="70">
        <v>45982</v>
      </c>
      <c r="M89" s="25"/>
    </row>
    <row r="90" spans="1:13" ht="16.5" customHeight="1">
      <c r="A90" s="198">
        <f>A86+1</f>
        <v>46043</v>
      </c>
      <c r="B90" s="206" t="s">
        <v>71</v>
      </c>
      <c r="C90" s="48" t="s">
        <v>17</v>
      </c>
      <c r="D90" s="10" t="s">
        <v>306</v>
      </c>
      <c r="E90" s="103" t="s">
        <v>30</v>
      </c>
      <c r="F90" s="15">
        <v>0.42708333333333331</v>
      </c>
      <c r="G90" s="10" t="s">
        <v>180</v>
      </c>
      <c r="H90" s="10" t="s">
        <v>181</v>
      </c>
      <c r="I90" s="10" t="s">
        <v>33</v>
      </c>
      <c r="J90" s="10"/>
      <c r="K90" s="10" t="s">
        <v>182</v>
      </c>
      <c r="L90" s="19">
        <v>45679</v>
      </c>
      <c r="M90" s="19"/>
    </row>
    <row r="91" spans="1:13" ht="16.5" customHeight="1">
      <c r="A91" s="199"/>
      <c r="B91" s="196"/>
      <c r="C91" s="48" t="s">
        <v>17</v>
      </c>
      <c r="D91" s="10" t="s">
        <v>298</v>
      </c>
      <c r="E91" s="10" t="s">
        <v>20</v>
      </c>
      <c r="F91" s="15">
        <v>0.38194444444444442</v>
      </c>
      <c r="G91" s="10" t="s">
        <v>31</v>
      </c>
      <c r="H91" s="10" t="s">
        <v>159</v>
      </c>
      <c r="I91" s="10" t="s">
        <v>33</v>
      </c>
      <c r="J91" s="10"/>
      <c r="K91" s="10" t="s">
        <v>29</v>
      </c>
      <c r="L91" s="95">
        <v>46036</v>
      </c>
      <c r="M91" s="31"/>
    </row>
    <row r="92" spans="1:13" ht="16.5" customHeight="1">
      <c r="A92" s="199"/>
      <c r="B92" s="196"/>
      <c r="C92" s="48" t="s">
        <v>17</v>
      </c>
      <c r="D92" s="10" t="s">
        <v>305</v>
      </c>
      <c r="E92" s="104" t="s">
        <v>30</v>
      </c>
      <c r="F92" s="15">
        <v>0.375</v>
      </c>
      <c r="G92" s="10" t="s">
        <v>31</v>
      </c>
      <c r="H92" s="10" t="s">
        <v>32</v>
      </c>
      <c r="I92" s="10" t="s">
        <v>67</v>
      </c>
      <c r="J92" s="10"/>
      <c r="K92" s="10" t="s">
        <v>74</v>
      </c>
      <c r="L92" s="19">
        <v>45903</v>
      </c>
      <c r="M92" s="19"/>
    </row>
    <row r="93" spans="1:13" ht="16.5" customHeight="1">
      <c r="A93" s="199"/>
      <c r="B93" s="196"/>
      <c r="C93" s="48" t="s">
        <v>17</v>
      </c>
      <c r="D93" s="10" t="s">
        <v>307</v>
      </c>
      <c r="E93" s="17" t="s">
        <v>20</v>
      </c>
      <c r="F93" s="15">
        <v>0.44791666666666669</v>
      </c>
      <c r="G93" s="10" t="s">
        <v>21</v>
      </c>
      <c r="H93" s="10" t="s">
        <v>183</v>
      </c>
      <c r="I93" s="10" t="s">
        <v>28</v>
      </c>
      <c r="J93" s="10"/>
      <c r="K93" s="10" t="s">
        <v>184</v>
      </c>
      <c r="L93" s="19">
        <v>45966</v>
      </c>
      <c r="M93" s="19"/>
    </row>
    <row r="94" spans="1:13" ht="16.5" customHeight="1">
      <c r="A94" s="199"/>
      <c r="B94" s="196"/>
      <c r="C94" s="59" t="s">
        <v>18</v>
      </c>
      <c r="D94" s="13" t="s">
        <v>308</v>
      </c>
      <c r="E94" s="20" t="s">
        <v>20</v>
      </c>
      <c r="F94" s="21">
        <v>0.57291666666666663</v>
      </c>
      <c r="G94" s="13" t="s">
        <v>81</v>
      </c>
      <c r="H94" s="13" t="s">
        <v>185</v>
      </c>
      <c r="I94" s="13" t="s">
        <v>28</v>
      </c>
      <c r="J94" s="13" t="s">
        <v>186</v>
      </c>
      <c r="K94" s="13" t="s">
        <v>187</v>
      </c>
      <c r="L94" s="25">
        <v>45861</v>
      </c>
      <c r="M94" s="13"/>
    </row>
    <row r="95" spans="1:13" ht="16.5" customHeight="1">
      <c r="A95" s="105"/>
      <c r="B95" s="61"/>
      <c r="C95" s="59" t="s">
        <v>18</v>
      </c>
      <c r="D95" s="13" t="s">
        <v>309</v>
      </c>
      <c r="E95" s="20" t="s">
        <v>30</v>
      </c>
      <c r="F95" s="21">
        <v>0.58333333333333337</v>
      </c>
      <c r="G95" s="13" t="s">
        <v>188</v>
      </c>
      <c r="H95" s="13" t="s">
        <v>189</v>
      </c>
      <c r="I95" s="13" t="s">
        <v>67</v>
      </c>
      <c r="J95" s="13"/>
      <c r="K95" s="13" t="s">
        <v>74</v>
      </c>
      <c r="L95" s="25">
        <v>46029</v>
      </c>
      <c r="M95" s="13"/>
    </row>
    <row r="96" spans="1:13" ht="16.5" customHeight="1">
      <c r="A96" s="99"/>
      <c r="B96" s="58"/>
      <c r="C96" s="59" t="s">
        <v>18</v>
      </c>
      <c r="D96" s="13" t="s">
        <v>284</v>
      </c>
      <c r="E96" s="14" t="s">
        <v>30</v>
      </c>
      <c r="F96" s="37">
        <v>0.66666666666666663</v>
      </c>
      <c r="G96" s="13" t="s">
        <v>80</v>
      </c>
      <c r="H96" s="20"/>
      <c r="I96" s="13" t="s">
        <v>67</v>
      </c>
      <c r="J96" s="20"/>
      <c r="K96" s="13" t="s">
        <v>74</v>
      </c>
      <c r="L96" s="46">
        <v>45904</v>
      </c>
      <c r="M96" s="13"/>
    </row>
    <row r="97" spans="1:13" ht="16.5" customHeight="1">
      <c r="A97" s="200">
        <f>A90+1</f>
        <v>46044</v>
      </c>
      <c r="B97" s="207" t="s">
        <v>16</v>
      </c>
      <c r="C97" s="9" t="s">
        <v>17</v>
      </c>
      <c r="D97" s="106" t="s">
        <v>290</v>
      </c>
      <c r="E97" s="107" t="s">
        <v>30</v>
      </c>
      <c r="F97" s="108">
        <v>0.58333333333333337</v>
      </c>
      <c r="G97" s="106" t="s">
        <v>31</v>
      </c>
      <c r="H97" s="106" t="s">
        <v>190</v>
      </c>
      <c r="I97" s="109"/>
      <c r="J97" s="106"/>
      <c r="K97" s="106" t="s">
        <v>74</v>
      </c>
      <c r="L97" s="110">
        <v>45986</v>
      </c>
      <c r="M97" s="19"/>
    </row>
    <row r="98" spans="1:13" ht="16.5" customHeight="1">
      <c r="A98" s="196"/>
      <c r="B98" s="196"/>
      <c r="C98" s="9" t="s">
        <v>17</v>
      </c>
      <c r="D98" s="10" t="s">
        <v>281</v>
      </c>
      <c r="E98" s="17" t="s">
        <v>30</v>
      </c>
      <c r="F98" s="15">
        <v>0.375</v>
      </c>
      <c r="G98" s="84" t="s">
        <v>51</v>
      </c>
      <c r="H98" s="10" t="s">
        <v>191</v>
      </c>
      <c r="I98" s="10" t="s">
        <v>33</v>
      </c>
      <c r="J98" s="10" t="s">
        <v>192</v>
      </c>
      <c r="K98" s="10" t="s">
        <v>74</v>
      </c>
      <c r="L98" s="19">
        <v>45925</v>
      </c>
      <c r="M98" s="19"/>
    </row>
    <row r="99" spans="1:13" ht="16.5" customHeight="1">
      <c r="A99" s="196"/>
      <c r="B99" s="196"/>
      <c r="C99" s="9" t="s">
        <v>17</v>
      </c>
      <c r="D99" s="10" t="s">
        <v>295</v>
      </c>
      <c r="E99" s="17" t="s">
        <v>30</v>
      </c>
      <c r="F99" s="27">
        <v>0.48958333333333331</v>
      </c>
      <c r="G99" s="10" t="s">
        <v>51</v>
      </c>
      <c r="H99" s="17" t="s">
        <v>92</v>
      </c>
      <c r="I99" s="111" t="s">
        <v>33</v>
      </c>
      <c r="J99" s="29"/>
      <c r="K99" s="28" t="s">
        <v>126</v>
      </c>
      <c r="L99" s="112" t="s">
        <v>127</v>
      </c>
      <c r="M99" s="19"/>
    </row>
    <row r="100" spans="1:13" ht="16.5" customHeight="1">
      <c r="A100" s="196"/>
      <c r="B100" s="196"/>
      <c r="C100" s="9" t="s">
        <v>17</v>
      </c>
      <c r="D100" s="10" t="s">
        <v>294</v>
      </c>
      <c r="E100" s="17" t="s">
        <v>30</v>
      </c>
      <c r="F100" s="27">
        <v>0.46875</v>
      </c>
      <c r="G100" s="10" t="s">
        <v>193</v>
      </c>
      <c r="H100" s="17" t="s">
        <v>107</v>
      </c>
      <c r="I100" s="111" t="s">
        <v>33</v>
      </c>
      <c r="J100" s="29"/>
      <c r="K100" s="28" t="s">
        <v>103</v>
      </c>
      <c r="L100" s="95">
        <v>45988</v>
      </c>
      <c r="M100" s="19"/>
    </row>
    <row r="101" spans="1:13" ht="16.5" customHeight="1">
      <c r="A101" s="196"/>
      <c r="B101" s="196"/>
      <c r="C101" s="9" t="s">
        <v>17</v>
      </c>
      <c r="D101" s="10" t="s">
        <v>310</v>
      </c>
      <c r="E101" s="17" t="s">
        <v>30</v>
      </c>
      <c r="F101" s="15">
        <v>0.39583333333333331</v>
      </c>
      <c r="G101" s="10" t="s">
        <v>51</v>
      </c>
      <c r="H101" s="10" t="s">
        <v>194</v>
      </c>
      <c r="I101" s="113" t="s">
        <v>195</v>
      </c>
      <c r="J101" s="10" t="s">
        <v>196</v>
      </c>
      <c r="K101" s="28" t="s">
        <v>103</v>
      </c>
      <c r="L101" s="25"/>
      <c r="M101" s="25"/>
    </row>
    <row r="102" spans="1:13" ht="16.5" customHeight="1">
      <c r="A102" s="196"/>
      <c r="B102" s="196"/>
      <c r="C102" s="12" t="s">
        <v>18</v>
      </c>
      <c r="D102" s="13" t="s">
        <v>311</v>
      </c>
      <c r="E102" s="20" t="s">
        <v>30</v>
      </c>
      <c r="F102" s="21">
        <v>0.59375</v>
      </c>
      <c r="G102" s="13" t="s">
        <v>197</v>
      </c>
      <c r="H102" s="13" t="s">
        <v>164</v>
      </c>
      <c r="I102" s="114" t="s">
        <v>33</v>
      </c>
      <c r="J102" s="13"/>
      <c r="K102" s="13" t="s">
        <v>74</v>
      </c>
      <c r="L102" s="25">
        <v>46014</v>
      </c>
      <c r="M102" s="25"/>
    </row>
    <row r="103" spans="1:13" ht="16.5" customHeight="1">
      <c r="A103" s="196"/>
      <c r="B103" s="196"/>
      <c r="C103" s="12" t="s">
        <v>18</v>
      </c>
      <c r="D103" s="13" t="s">
        <v>276</v>
      </c>
      <c r="E103" s="20" t="s">
        <v>20</v>
      </c>
      <c r="F103" s="21">
        <v>0.60416666666666663</v>
      </c>
      <c r="G103" s="13" t="s">
        <v>21</v>
      </c>
      <c r="H103" s="13" t="s">
        <v>107</v>
      </c>
      <c r="I103" s="13" t="s">
        <v>33</v>
      </c>
      <c r="J103" s="13" t="s">
        <v>198</v>
      </c>
      <c r="K103" s="13" t="s">
        <v>138</v>
      </c>
      <c r="L103" s="25">
        <v>45960</v>
      </c>
      <c r="M103" s="25"/>
    </row>
    <row r="104" spans="1:13" ht="16.5" customHeight="1">
      <c r="A104" s="197"/>
      <c r="B104" s="197"/>
      <c r="C104" s="12" t="s">
        <v>18</v>
      </c>
      <c r="D104" s="13" t="s">
        <v>282</v>
      </c>
      <c r="E104" s="20" t="s">
        <v>20</v>
      </c>
      <c r="F104" s="37">
        <v>0.63541666666666663</v>
      </c>
      <c r="G104" s="13" t="s">
        <v>21</v>
      </c>
      <c r="H104" s="13" t="s">
        <v>199</v>
      </c>
      <c r="I104" s="115" t="s">
        <v>33</v>
      </c>
      <c r="J104" s="13" t="s">
        <v>200</v>
      </c>
      <c r="K104" s="13" t="s">
        <v>77</v>
      </c>
      <c r="L104" s="25">
        <v>45988</v>
      </c>
      <c r="M104" s="25"/>
    </row>
    <row r="105" spans="1:13" ht="16.5" customHeight="1">
      <c r="A105" s="47"/>
      <c r="B105" s="206" t="s">
        <v>19</v>
      </c>
      <c r="C105" s="48" t="s">
        <v>17</v>
      </c>
      <c r="D105" s="10" t="s">
        <v>301</v>
      </c>
      <c r="E105" s="17" t="s">
        <v>20</v>
      </c>
      <c r="F105" s="18">
        <v>0.4513888888888889</v>
      </c>
      <c r="G105" s="43" t="s">
        <v>38</v>
      </c>
      <c r="H105" s="50" t="s">
        <v>95</v>
      </c>
      <c r="I105" s="10" t="s">
        <v>33</v>
      </c>
      <c r="J105" s="43"/>
      <c r="K105" s="10" t="s">
        <v>150</v>
      </c>
      <c r="L105" s="19">
        <v>45884</v>
      </c>
      <c r="M105" s="19"/>
    </row>
    <row r="106" spans="1:13" ht="16.5" customHeight="1">
      <c r="A106" s="201">
        <f>A97+1</f>
        <v>46045</v>
      </c>
      <c r="B106" s="196"/>
      <c r="C106" s="48" t="s">
        <v>17</v>
      </c>
      <c r="D106" s="10" t="s">
        <v>293</v>
      </c>
      <c r="E106" s="17" t="s">
        <v>20</v>
      </c>
      <c r="F106" s="41">
        <v>0.41666666666666669</v>
      </c>
      <c r="G106" s="39" t="s">
        <v>116</v>
      </c>
      <c r="H106" s="39" t="s">
        <v>201</v>
      </c>
      <c r="I106" s="116" t="s">
        <v>33</v>
      </c>
      <c r="J106" s="39" t="s">
        <v>202</v>
      </c>
      <c r="K106" s="39" t="s">
        <v>118</v>
      </c>
      <c r="L106" s="117">
        <v>45469</v>
      </c>
      <c r="M106" s="19"/>
    </row>
    <row r="107" spans="1:13" ht="16.5" customHeight="1">
      <c r="A107" s="199"/>
      <c r="B107" s="196"/>
      <c r="C107" s="48" t="s">
        <v>17</v>
      </c>
      <c r="D107" s="10" t="s">
        <v>293</v>
      </c>
      <c r="E107" s="10" t="s">
        <v>20</v>
      </c>
      <c r="F107" s="27">
        <v>0.5</v>
      </c>
      <c r="G107" s="10" t="s">
        <v>21</v>
      </c>
      <c r="H107" s="10" t="s">
        <v>203</v>
      </c>
      <c r="I107" s="10" t="s">
        <v>33</v>
      </c>
      <c r="J107" s="10" t="s">
        <v>204</v>
      </c>
      <c r="K107" s="116" t="s">
        <v>205</v>
      </c>
      <c r="L107" s="116" t="s">
        <v>206</v>
      </c>
      <c r="M107" s="28"/>
    </row>
    <row r="108" spans="1:13" ht="16.5" customHeight="1">
      <c r="A108" s="199"/>
      <c r="B108" s="196"/>
      <c r="C108" s="48" t="s">
        <v>17</v>
      </c>
      <c r="D108" s="10" t="s">
        <v>312</v>
      </c>
      <c r="E108" s="118" t="s">
        <v>207</v>
      </c>
      <c r="F108" s="41">
        <v>0.46875</v>
      </c>
      <c r="G108" s="51" t="s">
        <v>51</v>
      </c>
      <c r="H108" s="10" t="s">
        <v>39</v>
      </c>
      <c r="I108" s="10" t="s">
        <v>33</v>
      </c>
      <c r="J108" s="17"/>
      <c r="K108" s="28" t="s">
        <v>103</v>
      </c>
      <c r="L108" s="28" t="s">
        <v>208</v>
      </c>
      <c r="M108" s="28"/>
    </row>
    <row r="109" spans="1:13" ht="16.5" customHeight="1">
      <c r="A109" s="199"/>
      <c r="B109" s="196"/>
      <c r="C109" s="48" t="s">
        <v>17</v>
      </c>
      <c r="D109" s="10" t="s">
        <v>313</v>
      </c>
      <c r="E109" s="18" t="s">
        <v>30</v>
      </c>
      <c r="F109" s="27">
        <v>0.39583333333333331</v>
      </c>
      <c r="G109" s="10" t="s">
        <v>51</v>
      </c>
      <c r="H109" s="10" t="s">
        <v>209</v>
      </c>
      <c r="I109" s="28" t="s">
        <v>33</v>
      </c>
      <c r="J109" s="106" t="s">
        <v>210</v>
      </c>
      <c r="K109" s="119" t="s">
        <v>211</v>
      </c>
      <c r="L109" s="120">
        <v>45940</v>
      </c>
      <c r="M109" s="25"/>
    </row>
    <row r="110" spans="1:13" ht="16.5" customHeight="1">
      <c r="A110" s="202"/>
      <c r="B110" s="197"/>
      <c r="C110" s="59" t="s">
        <v>18</v>
      </c>
      <c r="D110" s="13" t="s">
        <v>275</v>
      </c>
      <c r="E110" s="121" t="s">
        <v>53</v>
      </c>
      <c r="F110" s="37">
        <v>0.625</v>
      </c>
      <c r="G110" s="13" t="s">
        <v>51</v>
      </c>
      <c r="H110" s="13" t="s">
        <v>154</v>
      </c>
      <c r="I110" s="13" t="s">
        <v>33</v>
      </c>
      <c r="J110" s="20" t="s">
        <v>212</v>
      </c>
      <c r="K110" s="13" t="s">
        <v>155</v>
      </c>
      <c r="L110" s="122">
        <v>45933</v>
      </c>
      <c r="M110" s="25"/>
    </row>
    <row r="111" spans="1:13" ht="16.5" customHeight="1">
      <c r="A111" s="200">
        <f>A106+1</f>
        <v>46046</v>
      </c>
      <c r="B111" s="208" t="s">
        <v>42</v>
      </c>
      <c r="C111" s="9" t="s">
        <v>17</v>
      </c>
      <c r="D111" s="10"/>
      <c r="E111" s="18"/>
      <c r="F111" s="15"/>
      <c r="G111" s="29"/>
      <c r="H111" s="10"/>
      <c r="I111" s="10"/>
      <c r="J111" s="10"/>
      <c r="K111" s="10"/>
      <c r="L111" s="19"/>
      <c r="M111" s="19"/>
    </row>
    <row r="112" spans="1:13" ht="16.5" customHeight="1">
      <c r="A112" s="197"/>
      <c r="B112" s="197"/>
      <c r="C112" s="12" t="s">
        <v>18</v>
      </c>
      <c r="D112" s="13"/>
      <c r="E112" s="14"/>
      <c r="F112" s="21"/>
      <c r="G112" s="123"/>
      <c r="H112" s="13"/>
      <c r="I112" s="13"/>
      <c r="J112" s="13"/>
      <c r="K112" s="13"/>
      <c r="L112" s="25"/>
      <c r="M112" s="25"/>
    </row>
    <row r="113" spans="1:13" ht="16.5" customHeight="1">
      <c r="A113" s="195">
        <f>A111+1</f>
        <v>46047</v>
      </c>
      <c r="B113" s="205" t="s">
        <v>43</v>
      </c>
      <c r="C113" s="9" t="s">
        <v>17</v>
      </c>
      <c r="D113" s="10"/>
      <c r="E113" s="124"/>
      <c r="F113" s="15"/>
      <c r="G113" s="10"/>
      <c r="H113" s="10"/>
      <c r="I113" s="10"/>
      <c r="J113" s="10"/>
      <c r="K113" s="10"/>
      <c r="L113" s="19"/>
      <c r="M113" s="19"/>
    </row>
    <row r="114" spans="1:13" ht="16.5" customHeight="1">
      <c r="A114" s="197"/>
      <c r="B114" s="197"/>
      <c r="C114" s="12" t="s">
        <v>18</v>
      </c>
      <c r="D114" s="13"/>
      <c r="E114" s="14"/>
      <c r="F114" s="21"/>
      <c r="G114" s="13"/>
      <c r="H114" s="13"/>
      <c r="I114" s="13"/>
      <c r="J114" s="13"/>
      <c r="K114" s="13"/>
      <c r="L114" s="25"/>
      <c r="M114" s="25"/>
    </row>
    <row r="115" spans="1:13" ht="16.5" customHeight="1">
      <c r="A115" s="195">
        <f>A113+1</f>
        <v>46048</v>
      </c>
      <c r="B115" s="206" t="s">
        <v>44</v>
      </c>
      <c r="C115" s="9" t="s">
        <v>17</v>
      </c>
      <c r="D115" s="10" t="s">
        <v>314</v>
      </c>
      <c r="E115" s="17" t="s">
        <v>30</v>
      </c>
      <c r="F115" s="27">
        <v>0.375</v>
      </c>
      <c r="G115" s="43" t="s">
        <v>51</v>
      </c>
      <c r="H115" s="39" t="s">
        <v>213</v>
      </c>
      <c r="I115" s="39" t="s">
        <v>28</v>
      </c>
      <c r="J115" s="39" t="s">
        <v>214</v>
      </c>
      <c r="K115" s="39" t="s">
        <v>74</v>
      </c>
      <c r="L115" s="125">
        <v>46037</v>
      </c>
      <c r="M115" s="10"/>
    </row>
    <row r="116" spans="1:13" ht="16.5" customHeight="1">
      <c r="A116" s="196"/>
      <c r="B116" s="196"/>
      <c r="C116" s="12" t="s">
        <v>18</v>
      </c>
      <c r="D116" s="13" t="s">
        <v>315</v>
      </c>
      <c r="E116" s="14" t="s">
        <v>30</v>
      </c>
      <c r="F116" s="37">
        <v>0.66666666666666663</v>
      </c>
      <c r="G116" s="13" t="s">
        <v>51</v>
      </c>
      <c r="H116" s="38" t="s">
        <v>54</v>
      </c>
      <c r="I116" s="38" t="s">
        <v>33</v>
      </c>
      <c r="J116" s="20"/>
      <c r="K116" s="38" t="s">
        <v>215</v>
      </c>
      <c r="L116" s="38" t="s">
        <v>216</v>
      </c>
      <c r="M116" s="126"/>
    </row>
    <row r="117" spans="1:13" ht="16.5" customHeight="1">
      <c r="A117" s="196"/>
      <c r="B117" s="196"/>
      <c r="C117" s="69" t="s">
        <v>18</v>
      </c>
      <c r="D117" s="56"/>
      <c r="E117" s="53"/>
      <c r="F117" s="97"/>
      <c r="G117" s="127"/>
      <c r="H117" s="128"/>
      <c r="I117" s="128"/>
      <c r="J117" s="128"/>
      <c r="K117" s="129"/>
      <c r="L117" s="130"/>
      <c r="M117" s="126"/>
    </row>
    <row r="118" spans="1:13" ht="16.5" customHeight="1">
      <c r="A118" s="197"/>
      <c r="B118" s="197"/>
      <c r="C118" s="69" t="s">
        <v>18</v>
      </c>
      <c r="D118" s="56"/>
      <c r="E118" s="53"/>
      <c r="F118" s="97"/>
      <c r="G118" s="131"/>
      <c r="H118" s="132"/>
      <c r="I118" s="132"/>
      <c r="J118" s="132"/>
      <c r="K118" s="133"/>
      <c r="L118" s="134"/>
      <c r="M118" s="126"/>
    </row>
    <row r="119" spans="1:13" ht="16.5" customHeight="1">
      <c r="A119" s="195">
        <f>A115+1</f>
        <v>46049</v>
      </c>
      <c r="B119" s="206" t="s">
        <v>59</v>
      </c>
      <c r="C119" s="9" t="s">
        <v>17</v>
      </c>
      <c r="D119" s="10"/>
      <c r="E119" s="124"/>
      <c r="F119" s="15"/>
      <c r="G119" s="10"/>
      <c r="H119" s="10"/>
      <c r="I119" s="10"/>
      <c r="J119" s="10"/>
      <c r="K119" s="10"/>
      <c r="L119" s="19"/>
      <c r="M119" s="19"/>
    </row>
    <row r="120" spans="1:13" ht="16.5" customHeight="1">
      <c r="A120" s="196"/>
      <c r="B120" s="196"/>
      <c r="C120" s="9" t="s">
        <v>17</v>
      </c>
      <c r="D120" s="106" t="s">
        <v>292</v>
      </c>
      <c r="E120" s="135" t="s">
        <v>30</v>
      </c>
      <c r="F120" s="108">
        <v>0.4375</v>
      </c>
      <c r="G120" s="72" t="s">
        <v>113</v>
      </c>
      <c r="H120" s="76" t="s">
        <v>114</v>
      </c>
      <c r="I120" s="76" t="s">
        <v>33</v>
      </c>
      <c r="J120" s="76"/>
      <c r="K120" s="28" t="s">
        <v>218</v>
      </c>
      <c r="L120" s="75" t="s">
        <v>172</v>
      </c>
      <c r="M120" s="19"/>
    </row>
    <row r="121" spans="1:13" ht="16.5" customHeight="1">
      <c r="A121" s="196"/>
      <c r="B121" s="196"/>
      <c r="C121" s="9" t="s">
        <v>17</v>
      </c>
      <c r="D121" s="106" t="s">
        <v>289</v>
      </c>
      <c r="E121" s="135" t="s">
        <v>30</v>
      </c>
      <c r="F121" s="108">
        <v>0.39583333333333331</v>
      </c>
      <c r="G121" s="72" t="s">
        <v>219</v>
      </c>
      <c r="H121" s="72" t="s">
        <v>220</v>
      </c>
      <c r="I121" s="72" t="s">
        <v>33</v>
      </c>
      <c r="J121" s="72"/>
      <c r="K121" s="28" t="s">
        <v>74</v>
      </c>
      <c r="L121" s="75" t="s">
        <v>221</v>
      </c>
      <c r="M121" s="19"/>
    </row>
    <row r="122" spans="1:13" ht="16.5" customHeight="1">
      <c r="A122" s="196"/>
      <c r="B122" s="196"/>
      <c r="C122" s="12" t="s">
        <v>18</v>
      </c>
      <c r="D122" s="13" t="s">
        <v>316</v>
      </c>
      <c r="E122" s="60" t="s">
        <v>20</v>
      </c>
      <c r="F122" s="21">
        <v>0.60069444444444442</v>
      </c>
      <c r="G122" s="13" t="s">
        <v>93</v>
      </c>
      <c r="H122" s="13" t="s">
        <v>36</v>
      </c>
      <c r="I122" s="13" t="s">
        <v>33</v>
      </c>
      <c r="J122" s="13"/>
      <c r="K122" s="38" t="s">
        <v>222</v>
      </c>
      <c r="L122" s="38" t="s">
        <v>223</v>
      </c>
      <c r="M122" s="38"/>
    </row>
    <row r="123" spans="1:13" ht="16.5" customHeight="1">
      <c r="A123" s="196"/>
      <c r="B123" s="196"/>
      <c r="C123" s="69" t="s">
        <v>18</v>
      </c>
      <c r="D123" s="56"/>
      <c r="E123" s="54"/>
      <c r="F123" s="97"/>
      <c r="G123" s="56"/>
      <c r="H123" s="56"/>
      <c r="I123" s="56"/>
      <c r="J123" s="56"/>
      <c r="K123" s="136"/>
      <c r="L123" s="137"/>
      <c r="M123" s="38"/>
    </row>
    <row r="124" spans="1:13" ht="16.5" customHeight="1">
      <c r="A124" s="196"/>
      <c r="B124" s="196"/>
      <c r="C124" s="12" t="s">
        <v>18</v>
      </c>
      <c r="D124" s="13" t="s">
        <v>275</v>
      </c>
      <c r="E124" s="20" t="s">
        <v>53</v>
      </c>
      <c r="F124" s="37">
        <v>0.625</v>
      </c>
      <c r="G124" s="13" t="s">
        <v>21</v>
      </c>
      <c r="H124" s="13" t="s">
        <v>224</v>
      </c>
      <c r="I124" s="13" t="s">
        <v>33</v>
      </c>
      <c r="J124" s="13"/>
      <c r="K124" s="38" t="s">
        <v>225</v>
      </c>
      <c r="L124" s="122">
        <v>45950</v>
      </c>
      <c r="M124" s="38"/>
    </row>
    <row r="125" spans="1:13" ht="16.5" customHeight="1">
      <c r="A125" s="197"/>
      <c r="B125" s="197"/>
      <c r="C125" s="12" t="s">
        <v>18</v>
      </c>
      <c r="D125" s="13" t="s">
        <v>317</v>
      </c>
      <c r="E125" s="20" t="s">
        <v>30</v>
      </c>
      <c r="F125" s="37">
        <v>0.63541666666666663</v>
      </c>
      <c r="G125" s="38" t="s">
        <v>21</v>
      </c>
      <c r="H125" s="38" t="s">
        <v>107</v>
      </c>
      <c r="I125" s="38" t="s">
        <v>226</v>
      </c>
      <c r="J125" s="13"/>
      <c r="K125" s="38" t="s">
        <v>227</v>
      </c>
      <c r="L125" s="122">
        <v>46014</v>
      </c>
      <c r="M125" s="38"/>
    </row>
    <row r="126" spans="1:13" ht="16.5" customHeight="1">
      <c r="A126" s="47"/>
      <c r="B126" s="206" t="s">
        <v>71</v>
      </c>
      <c r="C126" s="48" t="s">
        <v>17</v>
      </c>
      <c r="D126" s="10" t="s">
        <v>282</v>
      </c>
      <c r="E126" s="50" t="s">
        <v>228</v>
      </c>
      <c r="F126" s="15">
        <v>0.375</v>
      </c>
      <c r="G126" s="10" t="s">
        <v>21</v>
      </c>
      <c r="H126" s="10" t="s">
        <v>229</v>
      </c>
      <c r="I126" s="113" t="s">
        <v>33</v>
      </c>
      <c r="J126" s="10" t="s">
        <v>230</v>
      </c>
      <c r="K126" s="28" t="s">
        <v>77</v>
      </c>
      <c r="L126" s="95">
        <v>45988</v>
      </c>
      <c r="M126" s="28"/>
    </row>
    <row r="127" spans="1:13" ht="16.5" customHeight="1">
      <c r="A127" s="201">
        <f>A119+1</f>
        <v>46050</v>
      </c>
      <c r="B127" s="196"/>
      <c r="C127" s="48" t="s">
        <v>17</v>
      </c>
      <c r="D127" s="10" t="s">
        <v>286</v>
      </c>
      <c r="E127" s="50" t="s">
        <v>20</v>
      </c>
      <c r="F127" s="15">
        <v>0.47916666666666669</v>
      </c>
      <c r="G127" s="10" t="s">
        <v>21</v>
      </c>
      <c r="H127" s="10" t="s">
        <v>231</v>
      </c>
      <c r="I127" s="10" t="s">
        <v>232</v>
      </c>
      <c r="J127" s="10" t="s">
        <v>233</v>
      </c>
      <c r="K127" s="28" t="s">
        <v>234</v>
      </c>
      <c r="L127" s="95">
        <v>45786</v>
      </c>
      <c r="M127" s="28"/>
    </row>
    <row r="128" spans="1:13" ht="16.5" customHeight="1">
      <c r="A128" s="199"/>
      <c r="B128" s="196"/>
      <c r="C128" s="48" t="s">
        <v>17</v>
      </c>
      <c r="D128" s="10" t="s">
        <v>289</v>
      </c>
      <c r="E128" s="50" t="s">
        <v>207</v>
      </c>
      <c r="F128" s="15">
        <v>0.4375</v>
      </c>
      <c r="G128" s="10" t="s">
        <v>45</v>
      </c>
      <c r="H128" s="10" t="s">
        <v>235</v>
      </c>
      <c r="I128" s="10" t="s">
        <v>236</v>
      </c>
      <c r="J128" s="29" t="s">
        <v>237</v>
      </c>
      <c r="K128" s="28" t="s">
        <v>217</v>
      </c>
      <c r="L128" s="28" t="s">
        <v>238</v>
      </c>
      <c r="M128" s="28"/>
    </row>
    <row r="129" spans="1:13" ht="16.5" customHeight="1">
      <c r="A129" s="199"/>
      <c r="B129" s="196"/>
      <c r="C129" s="59" t="s">
        <v>18</v>
      </c>
      <c r="D129" s="13" t="s">
        <v>318</v>
      </c>
      <c r="E129" s="13" t="s">
        <v>20</v>
      </c>
      <c r="F129" s="21">
        <v>0.63541666666666663</v>
      </c>
      <c r="G129" s="13" t="s">
        <v>21</v>
      </c>
      <c r="H129" s="13" t="s">
        <v>239</v>
      </c>
      <c r="I129" s="13" t="s">
        <v>33</v>
      </c>
      <c r="J129" s="13"/>
      <c r="K129" s="38" t="s">
        <v>240</v>
      </c>
      <c r="L129" s="38" t="s">
        <v>241</v>
      </c>
      <c r="M129" s="38"/>
    </row>
    <row r="130" spans="1:13" ht="16.5" customHeight="1">
      <c r="A130" s="202"/>
      <c r="B130" s="197"/>
      <c r="C130" s="12" t="s">
        <v>18</v>
      </c>
      <c r="D130" s="13" t="s">
        <v>284</v>
      </c>
      <c r="E130" s="14" t="s">
        <v>30</v>
      </c>
      <c r="F130" s="37">
        <v>0.66666666666666663</v>
      </c>
      <c r="G130" s="13" t="s">
        <v>80</v>
      </c>
      <c r="H130" s="20"/>
      <c r="I130" s="13" t="s">
        <v>67</v>
      </c>
      <c r="J130" s="20"/>
      <c r="K130" s="38" t="s">
        <v>74</v>
      </c>
      <c r="L130" s="46">
        <v>45904</v>
      </c>
      <c r="M130" s="38"/>
    </row>
    <row r="131" spans="1:13" ht="16.5" customHeight="1">
      <c r="A131" s="200">
        <f>A127+1</f>
        <v>46051</v>
      </c>
      <c r="B131" s="207" t="s">
        <v>16</v>
      </c>
      <c r="C131" s="9" t="s">
        <v>17</v>
      </c>
      <c r="D131" s="106" t="s">
        <v>319</v>
      </c>
      <c r="E131" s="10" t="s">
        <v>30</v>
      </c>
      <c r="F131" s="108">
        <v>0.4375</v>
      </c>
      <c r="G131" s="106" t="s">
        <v>51</v>
      </c>
      <c r="H131" s="106" t="s">
        <v>242</v>
      </c>
      <c r="I131" s="106" t="s">
        <v>67</v>
      </c>
      <c r="J131" s="106" t="s">
        <v>243</v>
      </c>
      <c r="K131" s="138" t="s">
        <v>244</v>
      </c>
      <c r="L131" s="110">
        <v>45883</v>
      </c>
      <c r="M131" s="28"/>
    </row>
    <row r="132" spans="1:13" ht="16.5" customHeight="1">
      <c r="A132" s="196"/>
      <c r="B132" s="196"/>
      <c r="C132" s="9" t="s">
        <v>17</v>
      </c>
      <c r="D132" s="106" t="s">
        <v>281</v>
      </c>
      <c r="E132" s="10" t="s">
        <v>30</v>
      </c>
      <c r="F132" s="108">
        <v>0.5</v>
      </c>
      <c r="G132" s="106" t="s">
        <v>51</v>
      </c>
      <c r="H132" s="106" t="s">
        <v>92</v>
      </c>
      <c r="I132" s="106" t="s">
        <v>33</v>
      </c>
      <c r="J132" s="106"/>
      <c r="K132" s="138" t="s">
        <v>245</v>
      </c>
      <c r="L132" s="139">
        <v>45939</v>
      </c>
      <c r="M132" s="28"/>
    </row>
    <row r="133" spans="1:13" ht="16.5" customHeight="1">
      <c r="A133" s="196"/>
      <c r="B133" s="196"/>
      <c r="C133" s="9" t="s">
        <v>17</v>
      </c>
      <c r="D133" s="106" t="s">
        <v>290</v>
      </c>
      <c r="E133" s="10" t="s">
        <v>30</v>
      </c>
      <c r="F133" s="108">
        <v>0.39583333333333331</v>
      </c>
      <c r="G133" s="106" t="s">
        <v>63</v>
      </c>
      <c r="H133" s="106" t="s">
        <v>32</v>
      </c>
      <c r="I133" s="106" t="s">
        <v>246</v>
      </c>
      <c r="J133" s="106"/>
      <c r="K133" s="138" t="s">
        <v>247</v>
      </c>
      <c r="L133" s="139">
        <v>45986</v>
      </c>
      <c r="M133" s="28"/>
    </row>
    <row r="134" spans="1:13" ht="16.5" customHeight="1">
      <c r="A134" s="196"/>
      <c r="B134" s="196"/>
      <c r="C134" s="9" t="s">
        <v>17</v>
      </c>
      <c r="D134" s="10" t="s">
        <v>270</v>
      </c>
      <c r="E134" s="17" t="s">
        <v>30</v>
      </c>
      <c r="F134" s="15">
        <v>0.45833333333333331</v>
      </c>
      <c r="G134" s="10" t="s">
        <v>113</v>
      </c>
      <c r="H134" s="10" t="s">
        <v>87</v>
      </c>
      <c r="I134" s="106" t="s">
        <v>33</v>
      </c>
      <c r="J134" s="15"/>
      <c r="K134" s="28" t="s">
        <v>103</v>
      </c>
      <c r="L134" s="140">
        <v>46024</v>
      </c>
      <c r="M134" s="19"/>
    </row>
    <row r="135" spans="1:13" ht="16.5" customHeight="1">
      <c r="A135" s="196"/>
      <c r="B135" s="196"/>
      <c r="C135" s="12" t="s">
        <v>18</v>
      </c>
      <c r="D135" s="60" t="s">
        <v>296</v>
      </c>
      <c r="E135" s="13" t="s">
        <v>20</v>
      </c>
      <c r="F135" s="21">
        <v>0.58333333333333337</v>
      </c>
      <c r="G135" s="13" t="s">
        <v>248</v>
      </c>
      <c r="H135" s="13" t="s">
        <v>249</v>
      </c>
      <c r="I135" s="13" t="s">
        <v>28</v>
      </c>
      <c r="J135" s="141" t="s">
        <v>250</v>
      </c>
      <c r="K135" s="38" t="s">
        <v>161</v>
      </c>
      <c r="L135" s="142">
        <v>46036</v>
      </c>
      <c r="M135" s="25"/>
    </row>
    <row r="136" spans="1:13" ht="16.5" customHeight="1">
      <c r="A136" s="196"/>
      <c r="B136" s="196"/>
      <c r="C136" s="12" t="s">
        <v>18</v>
      </c>
      <c r="D136" s="60" t="s">
        <v>309</v>
      </c>
      <c r="E136" s="13" t="s">
        <v>30</v>
      </c>
      <c r="F136" s="21">
        <v>0.58333333333333337</v>
      </c>
      <c r="G136" s="13" t="s">
        <v>188</v>
      </c>
      <c r="H136" s="13" t="s">
        <v>189</v>
      </c>
      <c r="I136" s="13" t="s">
        <v>67</v>
      </c>
      <c r="J136" s="21"/>
      <c r="K136" s="38" t="s">
        <v>74</v>
      </c>
      <c r="L136" s="142">
        <v>46029</v>
      </c>
      <c r="M136" s="25"/>
    </row>
    <row r="137" spans="1:13" ht="16.5" customHeight="1">
      <c r="A137" s="197"/>
      <c r="B137" s="197"/>
      <c r="C137" s="69" t="s">
        <v>18</v>
      </c>
      <c r="D137" s="53"/>
      <c r="E137" s="56"/>
      <c r="F137" s="55"/>
      <c r="G137" s="56"/>
      <c r="H137" s="56"/>
      <c r="I137" s="56"/>
      <c r="J137" s="55"/>
      <c r="K137" s="136"/>
      <c r="L137" s="134"/>
      <c r="M137" s="70"/>
    </row>
    <row r="138" spans="1:13" ht="16.5" customHeight="1">
      <c r="A138" s="195">
        <f>A131+1</f>
        <v>46052</v>
      </c>
      <c r="B138" s="206" t="s">
        <v>19</v>
      </c>
      <c r="C138" s="9" t="s">
        <v>17</v>
      </c>
      <c r="D138" s="50" t="s">
        <v>278</v>
      </c>
      <c r="E138" s="10" t="s">
        <v>30</v>
      </c>
      <c r="F138" s="75" t="s">
        <v>251</v>
      </c>
      <c r="G138" s="28" t="s">
        <v>63</v>
      </c>
      <c r="H138" s="28" t="s">
        <v>252</v>
      </c>
      <c r="I138" s="28" t="s">
        <v>33</v>
      </c>
      <c r="J138" s="17"/>
      <c r="K138" s="28" t="s">
        <v>106</v>
      </c>
      <c r="L138" s="28" t="s">
        <v>253</v>
      </c>
      <c r="M138" s="28"/>
    </row>
    <row r="139" spans="1:13" ht="16.5" customHeight="1">
      <c r="A139" s="196"/>
      <c r="B139" s="196"/>
      <c r="C139" s="9" t="s">
        <v>17</v>
      </c>
      <c r="D139" s="10" t="s">
        <v>298</v>
      </c>
      <c r="E139" s="43" t="s">
        <v>20</v>
      </c>
      <c r="F139" s="41">
        <v>0.39583333333333331</v>
      </c>
      <c r="G139" s="28" t="s">
        <v>31</v>
      </c>
      <c r="H139" s="116" t="s">
        <v>139</v>
      </c>
      <c r="I139" s="28" t="s">
        <v>28</v>
      </c>
      <c r="J139" s="143"/>
      <c r="K139" s="28" t="s">
        <v>29</v>
      </c>
      <c r="L139" s="95">
        <v>46036</v>
      </c>
      <c r="M139" s="28"/>
    </row>
    <row r="140" spans="1:13" ht="16.5" customHeight="1">
      <c r="A140" s="196"/>
      <c r="B140" s="196"/>
      <c r="C140" s="144" t="s">
        <v>17</v>
      </c>
      <c r="D140" s="145" t="s">
        <v>320</v>
      </c>
      <c r="E140" s="51" t="s">
        <v>30</v>
      </c>
      <c r="F140" s="146" t="s">
        <v>254</v>
      </c>
      <c r="G140" s="147" t="s">
        <v>255</v>
      </c>
      <c r="H140" s="147" t="s">
        <v>39</v>
      </c>
      <c r="I140" s="147" t="s">
        <v>67</v>
      </c>
      <c r="J140" s="148"/>
      <c r="K140" s="28" t="s">
        <v>74</v>
      </c>
      <c r="L140" s="28" t="s">
        <v>256</v>
      </c>
      <c r="M140" s="28"/>
    </row>
    <row r="141" spans="1:13" ht="16.5" customHeight="1">
      <c r="A141" s="196"/>
      <c r="B141" s="196"/>
      <c r="C141" s="149" t="s">
        <v>18</v>
      </c>
      <c r="D141" s="150" t="s">
        <v>312</v>
      </c>
      <c r="E141" s="151" t="s">
        <v>207</v>
      </c>
      <c r="F141" s="37">
        <v>0.6875</v>
      </c>
      <c r="G141" s="13" t="s">
        <v>51</v>
      </c>
      <c r="H141" s="13" t="s">
        <v>92</v>
      </c>
      <c r="I141" s="13" t="s">
        <v>33</v>
      </c>
      <c r="J141" s="20"/>
      <c r="K141" s="38" t="s">
        <v>103</v>
      </c>
      <c r="L141" s="38" t="s">
        <v>208</v>
      </c>
      <c r="M141" s="38"/>
    </row>
    <row r="142" spans="1:13" ht="16.5" customHeight="1">
      <c r="A142" s="196"/>
      <c r="B142" s="196"/>
      <c r="C142" s="149" t="s">
        <v>18</v>
      </c>
      <c r="D142" s="150" t="s">
        <v>321</v>
      </c>
      <c r="E142" s="14" t="s">
        <v>30</v>
      </c>
      <c r="F142" s="37">
        <v>0.64583333333333337</v>
      </c>
      <c r="G142" s="13" t="s">
        <v>257</v>
      </c>
      <c r="H142" s="20"/>
      <c r="I142" s="13" t="s">
        <v>33</v>
      </c>
      <c r="J142" s="20"/>
      <c r="K142" s="152" t="s">
        <v>65</v>
      </c>
      <c r="L142" s="122">
        <v>46041</v>
      </c>
      <c r="M142" s="38"/>
    </row>
    <row r="143" spans="1:13" ht="16.5" customHeight="1">
      <c r="A143" s="196"/>
      <c r="B143" s="196"/>
      <c r="C143" s="12" t="s">
        <v>18</v>
      </c>
      <c r="D143" s="13" t="s">
        <v>315</v>
      </c>
      <c r="E143" s="21" t="s">
        <v>30</v>
      </c>
      <c r="F143" s="21">
        <v>0.59375</v>
      </c>
      <c r="G143" s="13" t="s">
        <v>51</v>
      </c>
      <c r="H143" s="13" t="s">
        <v>92</v>
      </c>
      <c r="I143" s="13" t="s">
        <v>33</v>
      </c>
      <c r="J143" s="13"/>
      <c r="K143" s="38" t="s">
        <v>247</v>
      </c>
      <c r="L143" s="38" t="s">
        <v>258</v>
      </c>
      <c r="M143" s="38"/>
    </row>
    <row r="144" spans="1:13" ht="16.5" customHeight="1">
      <c r="A144" s="197"/>
      <c r="B144" s="197"/>
      <c r="C144" s="12" t="s">
        <v>18</v>
      </c>
      <c r="D144" s="13" t="s">
        <v>299</v>
      </c>
      <c r="E144" s="153" t="s">
        <v>20</v>
      </c>
      <c r="F144" s="21">
        <v>0.64583333333333337</v>
      </c>
      <c r="G144" s="13" t="s">
        <v>21</v>
      </c>
      <c r="H144" s="13" t="s">
        <v>259</v>
      </c>
      <c r="I144" s="13" t="s">
        <v>88</v>
      </c>
      <c r="J144" s="13" t="s">
        <v>260</v>
      </c>
      <c r="K144" s="38" t="s">
        <v>261</v>
      </c>
      <c r="L144" s="38" t="s">
        <v>262</v>
      </c>
      <c r="M144" s="38"/>
    </row>
    <row r="145" spans="1:13" ht="16.5" customHeight="1">
      <c r="A145" s="195">
        <f>A138+1</f>
        <v>46053</v>
      </c>
      <c r="B145" s="205" t="s">
        <v>42</v>
      </c>
      <c r="C145" s="9" t="s">
        <v>17</v>
      </c>
      <c r="D145" s="10"/>
      <c r="E145" s="18"/>
      <c r="F145" s="15"/>
      <c r="G145" s="10"/>
      <c r="H145" s="154"/>
      <c r="I145" s="10"/>
      <c r="J145" s="10"/>
      <c r="K145" s="28"/>
      <c r="L145" s="28"/>
      <c r="M145" s="28"/>
    </row>
    <row r="146" spans="1:13" ht="16.5" customHeight="1">
      <c r="A146" s="197"/>
      <c r="B146" s="197"/>
      <c r="C146" s="12" t="s">
        <v>18</v>
      </c>
      <c r="D146" s="13"/>
      <c r="E146" s="14"/>
      <c r="F146" s="21"/>
      <c r="G146" s="13"/>
      <c r="H146" s="13"/>
      <c r="I146" s="13"/>
      <c r="J146" s="13"/>
      <c r="K146" s="38"/>
      <c r="L146" s="38"/>
      <c r="M146" s="38"/>
    </row>
    <row r="147" spans="1:13" ht="16.5" customHeight="1">
      <c r="A147" s="5"/>
      <c r="B147" s="5"/>
      <c r="C147" s="6"/>
    </row>
    <row r="148" spans="1:13" ht="23.25" customHeight="1">
      <c r="A148" s="5"/>
      <c r="B148" s="5"/>
      <c r="C148" s="6"/>
      <c r="H148" s="155" t="s">
        <v>263</v>
      </c>
    </row>
    <row r="149" spans="1:13" ht="16.5" customHeight="1">
      <c r="A149" s="5"/>
      <c r="B149" s="5"/>
      <c r="C149" s="6"/>
    </row>
    <row r="150" spans="1:13" ht="16.5" customHeight="1">
      <c r="A150" s="5"/>
      <c r="B150" s="5"/>
      <c r="C150" s="156" t="s">
        <v>264</v>
      </c>
      <c r="D150" s="156" t="s">
        <v>6</v>
      </c>
      <c r="E150" s="156" t="s">
        <v>7</v>
      </c>
      <c r="F150" s="156" t="s">
        <v>8</v>
      </c>
      <c r="G150" s="156" t="s">
        <v>9</v>
      </c>
      <c r="H150" s="156" t="s">
        <v>10</v>
      </c>
      <c r="I150" s="156" t="s">
        <v>11</v>
      </c>
      <c r="J150" s="157" t="s">
        <v>265</v>
      </c>
      <c r="K150" s="156" t="s">
        <v>13</v>
      </c>
      <c r="L150" s="156" t="s">
        <v>14</v>
      </c>
      <c r="M150" s="158"/>
    </row>
    <row r="151" spans="1:13" ht="16.5" customHeight="1">
      <c r="A151" s="159" t="s">
        <v>266</v>
      </c>
      <c r="B151" s="159"/>
      <c r="C151" s="160"/>
      <c r="D151" s="161"/>
      <c r="E151" s="162"/>
      <c r="F151" s="162"/>
      <c r="G151" s="161"/>
      <c r="H151" s="161"/>
      <c r="I151" s="161"/>
      <c r="J151" s="161"/>
      <c r="K151" s="161"/>
      <c r="L151" s="160"/>
      <c r="M151" s="163"/>
    </row>
    <row r="152" spans="1:13" ht="16.5" customHeight="1">
      <c r="A152" s="5"/>
      <c r="B152" s="5"/>
      <c r="C152" s="160"/>
      <c r="D152" s="161"/>
      <c r="E152" s="162"/>
      <c r="F152" s="162"/>
      <c r="G152" s="161"/>
      <c r="H152" s="161"/>
      <c r="I152" s="161"/>
      <c r="J152" s="161"/>
      <c r="K152" s="161"/>
      <c r="L152" s="160"/>
      <c r="M152" s="163"/>
    </row>
    <row r="153" spans="1:13" ht="15.75" customHeight="1">
      <c r="A153" s="5"/>
      <c r="B153" s="5"/>
      <c r="C153" s="160"/>
      <c r="D153" s="161"/>
      <c r="E153" s="162"/>
      <c r="F153" s="162"/>
      <c r="G153" s="161"/>
      <c r="H153" s="161"/>
      <c r="I153" s="161"/>
      <c r="J153" s="161"/>
      <c r="K153" s="161"/>
      <c r="L153" s="160"/>
      <c r="M153" s="163"/>
    </row>
    <row r="154" spans="1:13" ht="16.5" customHeight="1">
      <c r="A154" s="5"/>
      <c r="B154" s="5"/>
      <c r="C154" s="160"/>
      <c r="D154" s="164"/>
      <c r="E154" s="165"/>
      <c r="F154" s="166"/>
      <c r="G154" s="164"/>
      <c r="H154" s="164"/>
      <c r="I154" s="164"/>
      <c r="J154" s="164"/>
      <c r="K154" s="164"/>
      <c r="L154" s="167"/>
      <c r="M154" s="163"/>
    </row>
    <row r="155" spans="1:13" ht="16.5" customHeight="1">
      <c r="A155" s="5"/>
      <c r="B155" s="5"/>
      <c r="C155" s="160"/>
      <c r="D155" s="161"/>
      <c r="E155" s="161"/>
      <c r="F155" s="162"/>
      <c r="G155" s="161"/>
      <c r="H155" s="161"/>
      <c r="I155" s="161"/>
      <c r="J155" s="161"/>
      <c r="K155" s="161"/>
      <c r="L155" s="161"/>
      <c r="M155" s="163"/>
    </row>
    <row r="156" spans="1:13" ht="16.5" customHeight="1">
      <c r="A156" s="5"/>
      <c r="B156" s="5"/>
      <c r="C156" s="160"/>
      <c r="D156" s="161"/>
      <c r="E156" s="161"/>
      <c r="F156" s="162"/>
      <c r="G156" s="161"/>
      <c r="H156" s="161"/>
      <c r="I156" s="161"/>
      <c r="J156" s="161"/>
      <c r="K156" s="161"/>
      <c r="L156" s="168"/>
      <c r="M156" s="169"/>
    </row>
    <row r="157" spans="1:13" ht="16.5" customHeight="1">
      <c r="A157" s="5"/>
      <c r="B157" s="5"/>
      <c r="C157" s="168"/>
      <c r="D157" s="161"/>
      <c r="E157" s="161"/>
      <c r="F157" s="162"/>
      <c r="G157" s="161"/>
      <c r="H157" s="161"/>
      <c r="I157" s="161"/>
      <c r="J157" s="161"/>
      <c r="K157" s="161"/>
      <c r="L157" s="168"/>
    </row>
    <row r="158" spans="1:13" ht="16.5" customHeight="1">
      <c r="A158" s="5"/>
      <c r="B158" s="5"/>
      <c r="C158" s="168"/>
      <c r="D158" s="164"/>
      <c r="E158" s="165"/>
      <c r="F158" s="166"/>
      <c r="G158" s="164"/>
      <c r="H158" s="164"/>
      <c r="I158" s="164"/>
      <c r="J158" s="164"/>
      <c r="K158" s="164"/>
      <c r="L158" s="167"/>
    </row>
    <row r="159" spans="1:13" ht="16.5" customHeight="1">
      <c r="A159" s="5"/>
      <c r="B159" s="5"/>
      <c r="C159" s="170"/>
      <c r="D159" s="171"/>
      <c r="E159" s="165"/>
      <c r="F159" s="172"/>
      <c r="G159" s="171"/>
      <c r="H159" s="171"/>
      <c r="I159" s="171"/>
      <c r="J159" s="173"/>
      <c r="K159" s="164"/>
      <c r="L159" s="174"/>
    </row>
    <row r="160" spans="1:13" ht="16.5" customHeight="1">
      <c r="A160" s="5"/>
      <c r="B160" s="5"/>
      <c r="C160" s="168"/>
      <c r="D160" s="164"/>
      <c r="E160" s="175"/>
      <c r="F160" s="166"/>
      <c r="G160" s="164"/>
      <c r="H160" s="164"/>
      <c r="I160" s="164"/>
      <c r="J160" s="164"/>
      <c r="K160" s="164"/>
      <c r="L160" s="167"/>
    </row>
    <row r="161" spans="1:12" ht="16.5" customHeight="1">
      <c r="A161" s="5"/>
      <c r="B161" s="5"/>
      <c r="C161" s="168"/>
      <c r="D161" s="164"/>
      <c r="E161" s="171"/>
      <c r="F161" s="172"/>
      <c r="G161" s="164"/>
      <c r="H161" s="171"/>
      <c r="I161" s="164"/>
      <c r="J161" s="176"/>
      <c r="K161" s="164"/>
      <c r="L161" s="174"/>
    </row>
    <row r="162" spans="1:12" ht="16.5" customHeight="1">
      <c r="A162" s="5"/>
      <c r="B162" s="5"/>
      <c r="C162" s="168"/>
      <c r="D162" s="164"/>
      <c r="E162" s="165"/>
      <c r="F162" s="177"/>
      <c r="G162" s="164"/>
      <c r="H162" s="164"/>
      <c r="I162" s="164"/>
      <c r="J162" s="176"/>
      <c r="K162" s="164"/>
      <c r="L162" s="174"/>
    </row>
    <row r="163" spans="1:12" ht="16.5" customHeight="1">
      <c r="A163" s="5"/>
      <c r="B163" s="5"/>
      <c r="C163" s="178"/>
      <c r="D163" s="164"/>
      <c r="E163" s="175"/>
      <c r="F163" s="177"/>
      <c r="G163" s="164"/>
      <c r="H163" s="165"/>
      <c r="I163" s="164"/>
      <c r="J163" s="165"/>
      <c r="K163" s="164"/>
      <c r="L163" s="179"/>
    </row>
    <row r="164" spans="1:12" ht="16.5" customHeight="1">
      <c r="A164" s="5"/>
      <c r="B164" s="5"/>
      <c r="C164" s="178"/>
      <c r="D164" s="180"/>
      <c r="E164" s="164"/>
      <c r="F164" s="181"/>
      <c r="G164" s="180"/>
      <c r="H164" s="180"/>
      <c r="I164" s="180"/>
      <c r="J164" s="164"/>
      <c r="K164" s="180"/>
      <c r="L164" s="179"/>
    </row>
    <row r="165" spans="1:12" ht="16.5" customHeight="1">
      <c r="A165" s="5"/>
      <c r="B165" s="5"/>
      <c r="C165" s="168"/>
      <c r="D165" s="182"/>
      <c r="E165" s="183"/>
      <c r="F165" s="181"/>
      <c r="G165" s="182"/>
      <c r="H165" s="182"/>
      <c r="I165" s="182"/>
      <c r="J165" s="183"/>
      <c r="K165" s="183"/>
      <c r="L165" s="168"/>
    </row>
    <row r="166" spans="1:12" ht="16.5" customHeight="1">
      <c r="A166" s="5"/>
      <c r="B166" s="5"/>
      <c r="C166" s="168"/>
      <c r="D166" s="182"/>
      <c r="E166" s="183"/>
      <c r="F166" s="177"/>
      <c r="G166" s="182"/>
      <c r="H166" s="182"/>
      <c r="I166" s="182"/>
      <c r="J166" s="183"/>
      <c r="K166" s="183"/>
      <c r="L166" s="168"/>
    </row>
    <row r="167" spans="1:12" ht="16.5" customHeight="1">
      <c r="A167" s="5"/>
      <c r="B167" s="5"/>
      <c r="C167" s="168"/>
      <c r="D167" s="164"/>
      <c r="E167" s="183"/>
      <c r="F167" s="166"/>
      <c r="G167" s="184"/>
      <c r="H167" s="184"/>
      <c r="I167" s="184"/>
      <c r="J167" s="184"/>
      <c r="K167" s="185"/>
      <c r="L167" s="185"/>
    </row>
    <row r="168" spans="1:12" ht="16.5" customHeight="1">
      <c r="A168" s="5"/>
      <c r="B168" s="5"/>
      <c r="C168" s="168"/>
      <c r="D168" s="183"/>
      <c r="E168" s="164"/>
      <c r="F168" s="166"/>
      <c r="G168" s="164"/>
      <c r="H168" s="164"/>
      <c r="I168" s="164"/>
      <c r="J168" s="164"/>
      <c r="K168" s="185"/>
      <c r="L168" s="186"/>
    </row>
    <row r="169" spans="1:12" ht="16.5" customHeight="1">
      <c r="A169" s="5"/>
      <c r="B169" s="5"/>
      <c r="C169" s="187"/>
      <c r="D169" s="164"/>
      <c r="E169" s="183"/>
      <c r="F169" s="177"/>
      <c r="G169" s="188"/>
      <c r="H169" s="189"/>
      <c r="I169" s="189"/>
      <c r="J169" s="189"/>
      <c r="K169" s="183"/>
      <c r="L169" s="168"/>
    </row>
    <row r="170" spans="1:12" ht="16.5" customHeight="1">
      <c r="A170" s="5"/>
      <c r="B170" s="5"/>
      <c r="C170" s="187"/>
      <c r="D170" s="190"/>
      <c r="E170" s="191"/>
      <c r="F170" s="192"/>
      <c r="G170" s="190"/>
      <c r="H170" s="190"/>
      <c r="I170" s="190"/>
      <c r="J170" s="190"/>
      <c r="K170" s="191"/>
      <c r="L170" s="187"/>
    </row>
    <row r="171" spans="1:12" ht="16.5" customHeight="1">
      <c r="A171" s="5"/>
      <c r="B171" s="5"/>
      <c r="E171" s="193"/>
      <c r="F171" s="194"/>
      <c r="G171" s="193"/>
      <c r="H171" s="193"/>
      <c r="I171" s="193"/>
      <c r="J171" s="193" t="s">
        <v>0</v>
      </c>
      <c r="K171" s="193"/>
      <c r="L171" s="193"/>
    </row>
    <row r="172" spans="1:12" ht="16.5" customHeight="1">
      <c r="A172" s="5"/>
      <c r="B172" s="5"/>
      <c r="C172" s="6"/>
    </row>
    <row r="173" spans="1:12" ht="16.5" customHeight="1">
      <c r="A173" s="5"/>
      <c r="B173" s="5"/>
      <c r="C173" s="6"/>
    </row>
    <row r="174" spans="1:12" ht="16.5" customHeight="1">
      <c r="A174" s="5"/>
      <c r="B174" s="5"/>
      <c r="C174" s="6"/>
    </row>
    <row r="175" spans="1:12" ht="16.5" customHeight="1">
      <c r="A175" s="5"/>
      <c r="B175" s="5"/>
      <c r="C175" s="6"/>
    </row>
    <row r="176" spans="1:12" ht="16.5" customHeight="1">
      <c r="A176" s="5"/>
      <c r="B176" s="5"/>
      <c r="C176" s="6"/>
    </row>
    <row r="177" spans="1:3" ht="16.5" customHeight="1">
      <c r="A177" s="5"/>
      <c r="B177" s="5"/>
      <c r="C177" s="6"/>
    </row>
    <row r="178" spans="1:3" ht="16.5" customHeight="1">
      <c r="A178" s="5"/>
      <c r="B178" s="5"/>
      <c r="C178" s="6"/>
    </row>
    <row r="179" spans="1:3" ht="16.5" customHeight="1">
      <c r="A179" s="5"/>
      <c r="B179" s="5"/>
      <c r="C179" s="6"/>
    </row>
    <row r="180" spans="1:3" ht="16.5" customHeight="1">
      <c r="A180" s="5"/>
      <c r="B180" s="5"/>
      <c r="C180" s="6"/>
    </row>
    <row r="181" spans="1:3" ht="16.5" customHeight="1">
      <c r="A181" s="5"/>
      <c r="B181" s="5"/>
      <c r="C181" s="6"/>
    </row>
    <row r="182" spans="1:3" ht="16.5" customHeight="1">
      <c r="A182" s="5"/>
      <c r="B182" s="5"/>
      <c r="C182" s="6"/>
    </row>
    <row r="183" spans="1:3" ht="16.5" customHeight="1">
      <c r="A183" s="5"/>
      <c r="B183" s="5"/>
      <c r="C183" s="6"/>
    </row>
    <row r="184" spans="1:3" ht="16.5" customHeight="1">
      <c r="A184" s="5"/>
      <c r="B184" s="5"/>
      <c r="C184" s="6"/>
    </row>
    <row r="185" spans="1:3" ht="16.5" customHeight="1">
      <c r="A185" s="5"/>
      <c r="B185" s="5"/>
      <c r="C185" s="6"/>
    </row>
    <row r="186" spans="1:3" ht="16.5" customHeight="1">
      <c r="A186" s="5"/>
      <c r="B186" s="5"/>
      <c r="C186" s="6"/>
    </row>
    <row r="187" spans="1:3" ht="16.5" customHeight="1">
      <c r="A187" s="5"/>
      <c r="B187" s="5"/>
      <c r="C187" s="6"/>
    </row>
    <row r="188" spans="1:3" ht="16.5" customHeight="1">
      <c r="A188" s="5"/>
      <c r="B188" s="5"/>
      <c r="C188" s="6"/>
    </row>
    <row r="189" spans="1:3" ht="16.5" customHeight="1">
      <c r="A189" s="5"/>
      <c r="B189" s="5"/>
      <c r="C189" s="6"/>
    </row>
    <row r="190" spans="1:3" ht="16.5" customHeight="1">
      <c r="A190" s="5"/>
      <c r="B190" s="5"/>
      <c r="C190" s="6"/>
    </row>
    <row r="191" spans="1:3" ht="16.5" customHeight="1">
      <c r="A191" s="5"/>
      <c r="B191" s="5"/>
      <c r="C191" s="6"/>
    </row>
    <row r="192" spans="1:3" ht="16.5" customHeight="1">
      <c r="A192" s="5"/>
      <c r="B192" s="5"/>
      <c r="C192" s="6"/>
    </row>
    <row r="193" spans="1:3" ht="16.5" customHeight="1">
      <c r="A193" s="5"/>
      <c r="B193" s="5"/>
      <c r="C193" s="6"/>
    </row>
    <row r="194" spans="1:3" ht="16.5" customHeight="1">
      <c r="A194" s="5"/>
      <c r="B194" s="5"/>
      <c r="C194" s="6"/>
    </row>
    <row r="195" spans="1:3" ht="16.5" customHeight="1">
      <c r="A195" s="5"/>
      <c r="B195" s="5"/>
      <c r="C195" s="6"/>
    </row>
    <row r="196" spans="1:3" ht="16.5" customHeight="1">
      <c r="A196" s="5"/>
      <c r="B196" s="5"/>
      <c r="C196" s="6"/>
    </row>
    <row r="197" spans="1:3" ht="16.5" customHeight="1">
      <c r="A197" s="5"/>
      <c r="B197" s="5"/>
      <c r="C197" s="6"/>
    </row>
    <row r="198" spans="1:3" ht="16.5" customHeight="1">
      <c r="A198" s="5"/>
      <c r="B198" s="5"/>
      <c r="C198" s="6"/>
    </row>
    <row r="199" spans="1:3" ht="16.5" customHeight="1">
      <c r="A199" s="5"/>
      <c r="B199" s="5"/>
      <c r="C199" s="6"/>
    </row>
    <row r="200" spans="1:3" ht="16.5" customHeight="1">
      <c r="A200" s="5"/>
      <c r="B200" s="5"/>
      <c r="C200" s="6"/>
    </row>
    <row r="201" spans="1:3" ht="16.5" customHeight="1">
      <c r="A201" s="5"/>
      <c r="B201" s="5"/>
      <c r="C201" s="6"/>
    </row>
    <row r="202" spans="1:3" ht="16.5" customHeight="1">
      <c r="A202" s="5"/>
      <c r="B202" s="5"/>
      <c r="C202" s="6"/>
    </row>
    <row r="203" spans="1:3" ht="16.5" customHeight="1">
      <c r="A203" s="5"/>
      <c r="B203" s="5"/>
      <c r="C203" s="6"/>
    </row>
    <row r="204" spans="1:3" ht="16.5" customHeight="1">
      <c r="A204" s="5"/>
      <c r="B204" s="5"/>
      <c r="C204" s="6"/>
    </row>
    <row r="205" spans="1:3" ht="16.5" customHeight="1">
      <c r="A205" s="5"/>
      <c r="B205" s="5"/>
      <c r="C205" s="6"/>
    </row>
    <row r="206" spans="1:3" ht="16.5" customHeight="1">
      <c r="A206" s="5"/>
      <c r="B206" s="5"/>
      <c r="C206" s="6"/>
    </row>
    <row r="207" spans="1:3" ht="16.5" customHeight="1">
      <c r="A207" s="5"/>
      <c r="B207" s="5"/>
      <c r="C207" s="6"/>
    </row>
    <row r="208" spans="1:3" ht="16.5" customHeight="1">
      <c r="A208" s="5"/>
      <c r="B208" s="5"/>
      <c r="C208" s="6"/>
    </row>
    <row r="209" spans="1:3" ht="16.5" customHeight="1">
      <c r="A209" s="5"/>
      <c r="B209" s="5"/>
      <c r="C209" s="6"/>
    </row>
    <row r="210" spans="1:3" ht="16.5" customHeight="1">
      <c r="A210" s="5"/>
      <c r="B210" s="5"/>
      <c r="C210" s="6"/>
    </row>
    <row r="211" spans="1:3" ht="16.5" customHeight="1">
      <c r="A211" s="5"/>
      <c r="B211" s="5"/>
      <c r="C211" s="6"/>
    </row>
    <row r="212" spans="1:3" ht="16.5" customHeight="1">
      <c r="A212" s="5"/>
      <c r="B212" s="5"/>
      <c r="C212" s="6"/>
    </row>
    <row r="213" spans="1:3" ht="16.5" customHeight="1">
      <c r="A213" s="5"/>
      <c r="B213" s="5"/>
      <c r="C213" s="6"/>
    </row>
    <row r="214" spans="1:3" ht="16.5" customHeight="1">
      <c r="A214" s="5"/>
      <c r="B214" s="5"/>
      <c r="C214" s="6"/>
    </row>
    <row r="215" spans="1:3" ht="16.5" customHeight="1">
      <c r="A215" s="5"/>
      <c r="B215" s="5"/>
      <c r="C215" s="6"/>
    </row>
    <row r="216" spans="1:3" ht="16.5" customHeight="1">
      <c r="A216" s="5"/>
      <c r="B216" s="5"/>
      <c r="C216" s="6"/>
    </row>
    <row r="217" spans="1:3" ht="16.5" customHeight="1">
      <c r="A217" s="5"/>
      <c r="B217" s="5"/>
      <c r="C217" s="6"/>
    </row>
    <row r="218" spans="1:3" ht="16.5" customHeight="1">
      <c r="A218" s="5"/>
      <c r="B218" s="5"/>
      <c r="C218" s="6"/>
    </row>
    <row r="219" spans="1:3" ht="16.5" customHeight="1">
      <c r="A219" s="5"/>
      <c r="B219" s="5"/>
      <c r="C219" s="6"/>
    </row>
    <row r="220" spans="1:3" ht="16.5" customHeight="1">
      <c r="A220" s="5"/>
      <c r="B220" s="5"/>
      <c r="C220" s="6"/>
    </row>
    <row r="221" spans="1:3" ht="16.5" customHeight="1">
      <c r="A221" s="5"/>
      <c r="B221" s="5"/>
      <c r="C221" s="6"/>
    </row>
    <row r="222" spans="1:3" ht="16.5" customHeight="1">
      <c r="A222" s="5"/>
      <c r="B222" s="5"/>
      <c r="C222" s="6"/>
    </row>
    <row r="223" spans="1:3" ht="16.5" customHeight="1">
      <c r="A223" s="5"/>
      <c r="B223" s="5"/>
      <c r="C223" s="6"/>
    </row>
    <row r="224" spans="1:3" ht="16.5" customHeight="1">
      <c r="A224" s="5"/>
      <c r="B224" s="5"/>
      <c r="C224" s="6"/>
    </row>
    <row r="225" spans="1:3" ht="16.5" customHeight="1">
      <c r="A225" s="5"/>
      <c r="B225" s="5"/>
      <c r="C225" s="6"/>
    </row>
    <row r="226" spans="1:3" ht="16.5" customHeight="1">
      <c r="A226" s="5"/>
      <c r="B226" s="5"/>
      <c r="C226" s="6"/>
    </row>
    <row r="227" spans="1:3" ht="16.5" customHeight="1">
      <c r="A227" s="5"/>
      <c r="B227" s="5"/>
      <c r="C227" s="6"/>
    </row>
    <row r="228" spans="1:3" ht="16.5" customHeight="1">
      <c r="A228" s="5"/>
      <c r="B228" s="5"/>
      <c r="C228" s="6"/>
    </row>
    <row r="229" spans="1:3" ht="16.5" customHeight="1">
      <c r="A229" s="5"/>
      <c r="B229" s="5"/>
      <c r="C229" s="6"/>
    </row>
    <row r="230" spans="1:3" ht="16.5" customHeight="1">
      <c r="A230" s="5"/>
      <c r="B230" s="5"/>
      <c r="C230" s="6"/>
    </row>
    <row r="231" spans="1:3" ht="16.5" customHeight="1">
      <c r="A231" s="5"/>
      <c r="B231" s="5"/>
      <c r="C231" s="6"/>
    </row>
    <row r="232" spans="1:3" ht="16.5" customHeight="1">
      <c r="A232" s="5"/>
      <c r="B232" s="5"/>
      <c r="C232" s="6"/>
    </row>
    <row r="233" spans="1:3" ht="16.5" customHeight="1">
      <c r="A233" s="5"/>
      <c r="B233" s="5"/>
      <c r="C233" s="6"/>
    </row>
    <row r="234" spans="1:3" ht="16.5" customHeight="1">
      <c r="A234" s="5"/>
      <c r="B234" s="5"/>
      <c r="C234" s="6"/>
    </row>
    <row r="235" spans="1:3" ht="16.5" customHeight="1">
      <c r="A235" s="5"/>
      <c r="B235" s="5"/>
      <c r="C235" s="6"/>
    </row>
    <row r="236" spans="1:3" ht="16.5" customHeight="1">
      <c r="A236" s="5"/>
      <c r="B236" s="5"/>
      <c r="C236" s="6"/>
    </row>
    <row r="237" spans="1:3" ht="16.5" customHeight="1">
      <c r="A237" s="5"/>
      <c r="B237" s="5"/>
      <c r="C237" s="6"/>
    </row>
    <row r="238" spans="1:3" ht="16.5" customHeight="1">
      <c r="A238" s="5"/>
      <c r="B238" s="5"/>
      <c r="C238" s="6"/>
    </row>
    <row r="239" spans="1:3" ht="16.5" customHeight="1">
      <c r="A239" s="5"/>
      <c r="B239" s="5"/>
      <c r="C239" s="6"/>
    </row>
    <row r="240" spans="1:3" ht="16.5" customHeight="1">
      <c r="A240" s="5"/>
      <c r="B240" s="5"/>
      <c r="C240" s="6"/>
    </row>
    <row r="241" spans="1:3" ht="16.5" customHeight="1">
      <c r="A241" s="5"/>
      <c r="B241" s="5"/>
      <c r="C241" s="6"/>
    </row>
    <row r="242" spans="1:3" ht="16.5" customHeight="1">
      <c r="A242" s="5"/>
      <c r="B242" s="5"/>
      <c r="C242" s="6"/>
    </row>
    <row r="243" spans="1:3" ht="16.5" customHeight="1">
      <c r="A243" s="5"/>
      <c r="B243" s="5"/>
      <c r="C243" s="6"/>
    </row>
    <row r="244" spans="1:3" ht="16.5" customHeight="1">
      <c r="A244" s="5"/>
      <c r="B244" s="5"/>
      <c r="C244" s="6"/>
    </row>
    <row r="245" spans="1:3" ht="16.5" customHeight="1">
      <c r="A245" s="5"/>
      <c r="B245" s="5"/>
      <c r="C245" s="6"/>
    </row>
    <row r="246" spans="1:3" ht="16.5" customHeight="1">
      <c r="A246" s="5"/>
      <c r="B246" s="5"/>
      <c r="C246" s="6"/>
    </row>
    <row r="247" spans="1:3" ht="16.5" customHeight="1">
      <c r="A247" s="5"/>
      <c r="B247" s="5"/>
      <c r="C247" s="6"/>
    </row>
    <row r="248" spans="1:3" ht="16.5" customHeight="1">
      <c r="A248" s="5"/>
      <c r="B248" s="5"/>
      <c r="C248" s="6"/>
    </row>
    <row r="249" spans="1:3" ht="16.5" customHeight="1">
      <c r="A249" s="5"/>
      <c r="B249" s="5"/>
      <c r="C249" s="6"/>
    </row>
    <row r="250" spans="1:3" ht="16.5" customHeight="1">
      <c r="A250" s="5"/>
      <c r="B250" s="5"/>
      <c r="C250" s="6"/>
    </row>
    <row r="251" spans="1:3" ht="16.5" customHeight="1">
      <c r="A251" s="5"/>
      <c r="B251" s="5"/>
      <c r="C251" s="6"/>
    </row>
    <row r="252" spans="1:3" ht="16.5" customHeight="1">
      <c r="A252" s="5"/>
      <c r="B252" s="5"/>
      <c r="C252" s="6"/>
    </row>
    <row r="253" spans="1:3" ht="16.5" customHeight="1">
      <c r="A253" s="5"/>
      <c r="B253" s="5"/>
      <c r="C253" s="6"/>
    </row>
    <row r="254" spans="1:3" ht="16.5" customHeight="1">
      <c r="A254" s="5"/>
      <c r="B254" s="5"/>
      <c r="C254" s="6"/>
    </row>
    <row r="255" spans="1:3" ht="16.5" customHeight="1">
      <c r="A255" s="5"/>
      <c r="B255" s="5"/>
      <c r="C255" s="6"/>
    </row>
    <row r="256" spans="1:3" ht="16.5" customHeight="1">
      <c r="A256" s="5"/>
      <c r="B256" s="5"/>
      <c r="C256" s="6"/>
    </row>
    <row r="257" spans="1:3" ht="16.5" customHeight="1">
      <c r="A257" s="5"/>
      <c r="B257" s="5"/>
      <c r="C257" s="6"/>
    </row>
    <row r="258" spans="1:3" ht="16.5" customHeight="1">
      <c r="A258" s="5"/>
      <c r="B258" s="5"/>
      <c r="C258" s="6"/>
    </row>
    <row r="259" spans="1:3" ht="16.5" customHeight="1">
      <c r="A259" s="5"/>
      <c r="B259" s="5"/>
      <c r="C259" s="6"/>
    </row>
    <row r="260" spans="1:3" ht="16.5" customHeight="1">
      <c r="A260" s="5"/>
      <c r="B260" s="5"/>
      <c r="C260" s="6"/>
    </row>
    <row r="261" spans="1:3" ht="16.5" customHeight="1">
      <c r="A261" s="5"/>
      <c r="B261" s="5"/>
      <c r="C261" s="6"/>
    </row>
    <row r="262" spans="1:3" ht="16.5" customHeight="1">
      <c r="A262" s="5"/>
      <c r="B262" s="5"/>
      <c r="C262" s="6"/>
    </row>
    <row r="263" spans="1:3" ht="16.5" customHeight="1">
      <c r="A263" s="5"/>
      <c r="B263" s="5"/>
      <c r="C263" s="6"/>
    </row>
    <row r="264" spans="1:3" ht="16.5" customHeight="1">
      <c r="A264" s="5"/>
      <c r="B264" s="5"/>
      <c r="C264" s="6"/>
    </row>
    <row r="265" spans="1:3" ht="16.5" customHeight="1">
      <c r="A265" s="5"/>
      <c r="B265" s="5"/>
      <c r="C265" s="6"/>
    </row>
    <row r="266" spans="1:3" ht="16.5" customHeight="1">
      <c r="A266" s="5"/>
      <c r="B266" s="5"/>
      <c r="C266" s="6"/>
    </row>
    <row r="267" spans="1:3" ht="16.5" customHeight="1">
      <c r="A267" s="5"/>
      <c r="B267" s="5"/>
      <c r="C267" s="6"/>
    </row>
    <row r="268" spans="1:3" ht="16.5" customHeight="1">
      <c r="A268" s="5"/>
      <c r="B268" s="5"/>
      <c r="C268" s="6"/>
    </row>
    <row r="269" spans="1:3" ht="16.5" customHeight="1">
      <c r="A269" s="5"/>
      <c r="B269" s="5"/>
      <c r="C269" s="6"/>
    </row>
    <row r="270" spans="1:3" ht="16.5" customHeight="1">
      <c r="A270" s="5"/>
      <c r="B270" s="5"/>
      <c r="C270" s="6"/>
    </row>
    <row r="271" spans="1:3" ht="16.5" customHeight="1">
      <c r="A271" s="5"/>
      <c r="B271" s="5"/>
      <c r="C271" s="6"/>
    </row>
    <row r="272" spans="1:3" ht="16.5" customHeight="1">
      <c r="A272" s="5"/>
      <c r="B272" s="5"/>
      <c r="C272" s="6"/>
    </row>
    <row r="273" spans="1:3" ht="16.5" customHeight="1">
      <c r="A273" s="5"/>
      <c r="B273" s="5"/>
      <c r="C273" s="6"/>
    </row>
    <row r="274" spans="1:3" ht="16.5" customHeight="1">
      <c r="A274" s="5"/>
      <c r="B274" s="5"/>
      <c r="C274" s="6"/>
    </row>
    <row r="275" spans="1:3" ht="16.5" customHeight="1">
      <c r="A275" s="5"/>
      <c r="B275" s="5"/>
      <c r="C275" s="6"/>
    </row>
    <row r="276" spans="1:3" ht="16.5" customHeight="1">
      <c r="A276" s="5"/>
      <c r="B276" s="5"/>
      <c r="C276" s="6"/>
    </row>
    <row r="277" spans="1:3" ht="16.5" customHeight="1">
      <c r="A277" s="5"/>
      <c r="B277" s="5"/>
      <c r="C277" s="6"/>
    </row>
    <row r="278" spans="1:3" ht="16.5" customHeight="1">
      <c r="A278" s="5"/>
      <c r="B278" s="5"/>
      <c r="C278" s="6"/>
    </row>
    <row r="279" spans="1:3" ht="16.5" customHeight="1">
      <c r="A279" s="5"/>
      <c r="B279" s="5"/>
      <c r="C279" s="6"/>
    </row>
    <row r="280" spans="1:3" ht="16.5" customHeight="1">
      <c r="A280" s="5"/>
      <c r="B280" s="5"/>
      <c r="C280" s="6"/>
    </row>
    <row r="281" spans="1:3" ht="16.5" customHeight="1">
      <c r="A281" s="5"/>
      <c r="B281" s="5"/>
      <c r="C281" s="6"/>
    </row>
    <row r="282" spans="1:3" ht="16.5" customHeight="1">
      <c r="A282" s="5"/>
      <c r="B282" s="5"/>
      <c r="C282" s="6"/>
    </row>
    <row r="283" spans="1:3" ht="16.5" customHeight="1">
      <c r="A283" s="5"/>
      <c r="B283" s="5"/>
      <c r="C283" s="6"/>
    </row>
    <row r="284" spans="1:3" ht="16.5" customHeight="1">
      <c r="A284" s="5"/>
      <c r="B284" s="5"/>
      <c r="C284" s="6"/>
    </row>
    <row r="285" spans="1:3" ht="16.5" customHeight="1">
      <c r="A285" s="5"/>
      <c r="B285" s="5"/>
      <c r="C285" s="6"/>
    </row>
    <row r="286" spans="1:3" ht="16.5" customHeight="1">
      <c r="A286" s="5"/>
      <c r="B286" s="5"/>
      <c r="C286" s="6"/>
    </row>
    <row r="287" spans="1:3" ht="16.5" customHeight="1">
      <c r="A287" s="5"/>
      <c r="B287" s="5"/>
      <c r="C287" s="6"/>
    </row>
    <row r="288" spans="1:3" ht="16.5" customHeight="1">
      <c r="A288" s="5"/>
      <c r="B288" s="5"/>
      <c r="C288" s="6"/>
    </row>
    <row r="289" spans="1:3" ht="16.5" customHeight="1">
      <c r="A289" s="5"/>
      <c r="B289" s="5"/>
      <c r="C289" s="6"/>
    </row>
    <row r="290" spans="1:3" ht="16.5" customHeight="1">
      <c r="A290" s="5"/>
      <c r="B290" s="5"/>
      <c r="C290" s="6"/>
    </row>
    <row r="291" spans="1:3" ht="16.5" customHeight="1">
      <c r="A291" s="5"/>
      <c r="B291" s="5"/>
      <c r="C291" s="6"/>
    </row>
    <row r="292" spans="1:3" ht="16.5" customHeight="1">
      <c r="A292" s="5"/>
      <c r="B292" s="5"/>
      <c r="C292" s="6"/>
    </row>
    <row r="293" spans="1:3" ht="16.5" customHeight="1">
      <c r="A293" s="5"/>
      <c r="B293" s="5"/>
      <c r="C293" s="6"/>
    </row>
    <row r="294" spans="1:3" ht="16.5" customHeight="1">
      <c r="A294" s="5"/>
      <c r="B294" s="5"/>
      <c r="C294" s="6"/>
    </row>
    <row r="295" spans="1:3" ht="16.5" customHeight="1">
      <c r="A295" s="5"/>
      <c r="B295" s="5"/>
      <c r="C295" s="6"/>
    </row>
    <row r="296" spans="1:3" ht="16.5" customHeight="1">
      <c r="A296" s="5"/>
      <c r="B296" s="5"/>
      <c r="C296" s="6"/>
    </row>
    <row r="297" spans="1:3" ht="16.5" customHeight="1">
      <c r="A297" s="5"/>
      <c r="B297" s="5"/>
      <c r="C297" s="6"/>
    </row>
    <row r="298" spans="1:3" ht="16.5" customHeight="1">
      <c r="A298" s="5"/>
      <c r="B298" s="5"/>
      <c r="C298" s="6"/>
    </row>
    <row r="299" spans="1:3" ht="16.5" customHeight="1">
      <c r="A299" s="5"/>
      <c r="B299" s="5"/>
      <c r="C299" s="6"/>
    </row>
    <row r="300" spans="1:3" ht="16.5" customHeight="1">
      <c r="A300" s="5"/>
      <c r="B300" s="5"/>
      <c r="C300" s="6"/>
    </row>
    <row r="301" spans="1:3" ht="16.5" customHeight="1">
      <c r="A301" s="5"/>
      <c r="B301" s="5"/>
      <c r="C301" s="6"/>
    </row>
    <row r="302" spans="1:3" ht="16.5" customHeight="1">
      <c r="A302" s="5"/>
      <c r="B302" s="5"/>
      <c r="C302" s="6"/>
    </row>
    <row r="303" spans="1:3" ht="16.5" customHeight="1">
      <c r="A303" s="5"/>
      <c r="B303" s="5"/>
      <c r="C303" s="6"/>
    </row>
    <row r="304" spans="1:3" ht="16.5" customHeight="1">
      <c r="A304" s="5"/>
      <c r="B304" s="5"/>
      <c r="C304" s="6"/>
    </row>
    <row r="305" spans="1:3" ht="16.5" customHeight="1">
      <c r="A305" s="5"/>
      <c r="B305" s="5"/>
      <c r="C305" s="6"/>
    </row>
    <row r="306" spans="1:3" ht="16.5" customHeight="1">
      <c r="A306" s="5"/>
      <c r="B306" s="5"/>
      <c r="C306" s="6"/>
    </row>
    <row r="307" spans="1:3" ht="16.5" customHeight="1">
      <c r="A307" s="5"/>
      <c r="B307" s="5"/>
      <c r="C307" s="6"/>
    </row>
    <row r="308" spans="1:3" ht="16.5" customHeight="1">
      <c r="A308" s="5"/>
      <c r="B308" s="5"/>
      <c r="C308" s="6"/>
    </row>
    <row r="309" spans="1:3" ht="16.5" customHeight="1">
      <c r="A309" s="5"/>
      <c r="B309" s="5"/>
      <c r="C309" s="6"/>
    </row>
    <row r="310" spans="1:3" ht="16.5" customHeight="1">
      <c r="A310" s="5"/>
      <c r="B310" s="5"/>
      <c r="C310" s="6"/>
    </row>
    <row r="311" spans="1:3" ht="16.5" customHeight="1">
      <c r="A311" s="5"/>
      <c r="B311" s="5"/>
      <c r="C311" s="6"/>
    </row>
    <row r="312" spans="1:3" ht="16.5" customHeight="1">
      <c r="A312" s="5"/>
      <c r="B312" s="5"/>
      <c r="C312" s="6"/>
    </row>
    <row r="313" spans="1:3" ht="16.5" customHeight="1">
      <c r="A313" s="5"/>
      <c r="B313" s="5"/>
      <c r="C313" s="6"/>
    </row>
    <row r="314" spans="1:3" ht="16.5" customHeight="1">
      <c r="A314" s="5"/>
      <c r="B314" s="5"/>
      <c r="C314" s="6"/>
    </row>
    <row r="315" spans="1:3" ht="16.5" customHeight="1">
      <c r="A315" s="5"/>
      <c r="B315" s="5"/>
      <c r="C315" s="6"/>
    </row>
    <row r="316" spans="1:3" ht="16.5" customHeight="1">
      <c r="A316" s="5"/>
      <c r="B316" s="5"/>
      <c r="C316" s="6"/>
    </row>
    <row r="317" spans="1:3" ht="16.5" customHeight="1">
      <c r="A317" s="5"/>
      <c r="B317" s="5"/>
      <c r="C317" s="6"/>
    </row>
    <row r="318" spans="1:3" ht="16.5" customHeight="1">
      <c r="A318" s="5"/>
      <c r="B318" s="5"/>
      <c r="C318" s="6"/>
    </row>
    <row r="319" spans="1:3" ht="16.5" customHeight="1">
      <c r="A319" s="5"/>
      <c r="B319" s="5"/>
      <c r="C319" s="6"/>
    </row>
    <row r="320" spans="1:3" ht="16.5" customHeight="1">
      <c r="A320" s="5"/>
      <c r="B320" s="5"/>
      <c r="C320" s="6"/>
    </row>
    <row r="321" spans="1:3" ht="16.5" customHeight="1">
      <c r="A321" s="5"/>
      <c r="B321" s="5"/>
      <c r="C321" s="6"/>
    </row>
    <row r="322" spans="1:3" ht="16.5" customHeight="1">
      <c r="A322" s="5"/>
      <c r="B322" s="5"/>
      <c r="C322" s="6"/>
    </row>
    <row r="323" spans="1:3" ht="16.5" customHeight="1">
      <c r="A323" s="5"/>
      <c r="B323" s="5"/>
      <c r="C323" s="6"/>
    </row>
    <row r="324" spans="1:3" ht="16.5" customHeight="1">
      <c r="A324" s="5"/>
      <c r="B324" s="5"/>
      <c r="C324" s="6"/>
    </row>
    <row r="325" spans="1:3" ht="16.5" customHeight="1">
      <c r="A325" s="5"/>
      <c r="B325" s="5"/>
      <c r="C325" s="6"/>
    </row>
    <row r="326" spans="1:3" ht="16.5" customHeight="1">
      <c r="A326" s="5"/>
      <c r="B326" s="5"/>
      <c r="C326" s="6"/>
    </row>
    <row r="327" spans="1:3" ht="16.5" customHeight="1">
      <c r="A327" s="5"/>
      <c r="B327" s="5"/>
      <c r="C327" s="6"/>
    </row>
    <row r="328" spans="1:3" ht="16.5" customHeight="1">
      <c r="A328" s="5"/>
      <c r="B328" s="5"/>
      <c r="C328" s="6"/>
    </row>
    <row r="329" spans="1:3" ht="16.5" customHeight="1">
      <c r="A329" s="5"/>
      <c r="B329" s="5"/>
      <c r="C329" s="6"/>
    </row>
    <row r="330" spans="1:3" ht="16.5" customHeight="1">
      <c r="A330" s="5"/>
      <c r="B330" s="5"/>
      <c r="C330" s="6"/>
    </row>
    <row r="331" spans="1:3" ht="16.5" customHeight="1">
      <c r="A331" s="5"/>
      <c r="B331" s="5"/>
      <c r="C331" s="6"/>
    </row>
    <row r="332" spans="1:3" ht="16.5" customHeight="1">
      <c r="A332" s="5"/>
      <c r="B332" s="5"/>
      <c r="C332" s="6"/>
    </row>
    <row r="333" spans="1:3" ht="16.5" customHeight="1">
      <c r="A333" s="5"/>
      <c r="B333" s="5"/>
      <c r="C333" s="6"/>
    </row>
    <row r="334" spans="1:3" ht="16.5" customHeight="1">
      <c r="A334" s="5"/>
      <c r="B334" s="5"/>
      <c r="C334" s="6"/>
    </row>
    <row r="335" spans="1:3" ht="16.5" customHeight="1">
      <c r="A335" s="5"/>
      <c r="B335" s="5"/>
      <c r="C335" s="6"/>
    </row>
    <row r="336" spans="1:3" ht="16.5" customHeight="1">
      <c r="A336" s="5"/>
      <c r="B336" s="5"/>
      <c r="C336" s="6"/>
    </row>
    <row r="337" spans="1:3" ht="16.5" customHeight="1">
      <c r="A337" s="5"/>
      <c r="B337" s="5"/>
      <c r="C337" s="6"/>
    </row>
    <row r="338" spans="1:3" ht="16.5" customHeight="1">
      <c r="A338" s="5"/>
      <c r="B338" s="5"/>
      <c r="C338" s="6"/>
    </row>
    <row r="339" spans="1:3" ht="16.5" customHeight="1">
      <c r="A339" s="5"/>
      <c r="B339" s="5"/>
      <c r="C339" s="6"/>
    </row>
    <row r="340" spans="1:3" ht="16.5" customHeight="1">
      <c r="A340" s="5"/>
      <c r="B340" s="5"/>
      <c r="C340" s="6"/>
    </row>
    <row r="341" spans="1:3" ht="16.5" customHeight="1">
      <c r="A341" s="5"/>
      <c r="B341" s="5"/>
      <c r="C341" s="6"/>
    </row>
    <row r="342" spans="1:3" ht="16.5" customHeight="1">
      <c r="A342" s="5"/>
      <c r="B342" s="5"/>
      <c r="C342" s="6"/>
    </row>
    <row r="343" spans="1:3" ht="16.5" customHeight="1">
      <c r="A343" s="5"/>
      <c r="B343" s="5"/>
      <c r="C343" s="6"/>
    </row>
    <row r="344" spans="1:3" ht="16.5" customHeight="1">
      <c r="A344" s="5"/>
      <c r="B344" s="5"/>
      <c r="C344" s="6"/>
    </row>
    <row r="345" spans="1:3" ht="16.5" customHeight="1">
      <c r="A345" s="5"/>
      <c r="B345" s="5"/>
      <c r="C345" s="6"/>
    </row>
    <row r="346" spans="1:3" ht="16.5" customHeight="1">
      <c r="A346" s="5"/>
      <c r="B346" s="5"/>
      <c r="C346" s="6"/>
    </row>
    <row r="347" spans="1:3" ht="16.5" customHeight="1">
      <c r="A347" s="5"/>
      <c r="B347" s="5"/>
      <c r="C347" s="6"/>
    </row>
    <row r="348" spans="1:3" ht="16.5" customHeight="1">
      <c r="A348" s="5"/>
      <c r="B348" s="5"/>
      <c r="C348" s="6"/>
    </row>
    <row r="349" spans="1:3" ht="16.5" customHeight="1">
      <c r="A349" s="5"/>
      <c r="B349" s="5"/>
      <c r="C349" s="6"/>
    </row>
    <row r="350" spans="1:3" ht="16.5" customHeight="1">
      <c r="A350" s="5"/>
      <c r="B350" s="5"/>
      <c r="C350" s="6"/>
    </row>
    <row r="351" spans="1:3" ht="16.5" customHeight="1">
      <c r="A351" s="5"/>
      <c r="B351" s="5"/>
      <c r="C351" s="6"/>
    </row>
    <row r="352" spans="1:3" ht="16.5" customHeight="1">
      <c r="A352" s="5"/>
      <c r="B352" s="5"/>
      <c r="C352" s="6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</sheetData>
  <mergeCells count="63">
    <mergeCell ref="B138:B144"/>
    <mergeCell ref="B145:B146"/>
    <mergeCell ref="B97:B104"/>
    <mergeCell ref="B105:B110"/>
    <mergeCell ref="B111:B112"/>
    <mergeCell ref="B113:B114"/>
    <mergeCell ref="B115:B118"/>
    <mergeCell ref="B119:B125"/>
    <mergeCell ref="B126:B130"/>
    <mergeCell ref="B80:B85"/>
    <mergeCell ref="B86:B89"/>
    <mergeCell ref="B90:B94"/>
    <mergeCell ref="A127:A130"/>
    <mergeCell ref="A131:A137"/>
    <mergeCell ref="B131:B137"/>
    <mergeCell ref="B58:B63"/>
    <mergeCell ref="B64:B68"/>
    <mergeCell ref="B69:B75"/>
    <mergeCell ref="B76:B77"/>
    <mergeCell ref="B78:B79"/>
    <mergeCell ref="B37:B42"/>
    <mergeCell ref="B43:B44"/>
    <mergeCell ref="B45:B46"/>
    <mergeCell ref="B47:B51"/>
    <mergeCell ref="B53:B57"/>
    <mergeCell ref="A37:A42"/>
    <mergeCell ref="A43:A44"/>
    <mergeCell ref="A45:A46"/>
    <mergeCell ref="A47:A51"/>
    <mergeCell ref="A53:A57"/>
    <mergeCell ref="A23:A26"/>
    <mergeCell ref="B23:B26"/>
    <mergeCell ref="B27:B30"/>
    <mergeCell ref="A27:A30"/>
    <mergeCell ref="A31:A36"/>
    <mergeCell ref="B31:B35"/>
    <mergeCell ref="A14:A15"/>
    <mergeCell ref="B14:B15"/>
    <mergeCell ref="A16:A17"/>
    <mergeCell ref="B16:B17"/>
    <mergeCell ref="A18:A22"/>
    <mergeCell ref="B18:B22"/>
    <mergeCell ref="K3:L3"/>
    <mergeCell ref="A6:A7"/>
    <mergeCell ref="B6:B7"/>
    <mergeCell ref="A8:A12"/>
    <mergeCell ref="B8:B12"/>
    <mergeCell ref="A80:A84"/>
    <mergeCell ref="A86:A89"/>
    <mergeCell ref="A138:A144"/>
    <mergeCell ref="A145:A146"/>
    <mergeCell ref="A90:A94"/>
    <mergeCell ref="A97:A104"/>
    <mergeCell ref="A106:A110"/>
    <mergeCell ref="A111:A112"/>
    <mergeCell ref="A113:A114"/>
    <mergeCell ref="A115:A118"/>
    <mergeCell ref="A119:A125"/>
    <mergeCell ref="A58:A63"/>
    <mergeCell ref="A64:A68"/>
    <mergeCell ref="A69:A75"/>
    <mergeCell ref="A76:A77"/>
    <mergeCell ref="A78:A79"/>
  </mergeCells>
  <phoneticPr fontId="21" type="noConversion"/>
  <conditionalFormatting sqref="A1:C146 D1:H63 D68:H146 J1:J63 I1:I146 K1:M146 G66 J68:J146 D154:L154 D158:L158 C160:L160 C162:I162 J164 K167:L168 D167:D169 F167:J169 E167:E170">
    <cfRule type="containsText" dxfId="3" priority="3" operator="containsText" text="週六">
      <formula>NOT(ISERROR(SEARCH(("週六"),(A1))))</formula>
    </cfRule>
  </conditionalFormatting>
  <conditionalFormatting sqref="B6:B146">
    <cfRule type="containsText" dxfId="2" priority="2" operator="containsText" text="日">
      <formula>NOT(ISERROR(SEARCH(("日"),(B6))))</formula>
    </cfRule>
  </conditionalFormatting>
  <conditionalFormatting sqref="E9:E11 E69:E71 E85 E104:E105 E134">
    <cfRule type="containsText" dxfId="1" priority="1" operator="containsText" text="週六">
      <formula>NOT(ISERROR(SEARCH(("週六"),(E9))))</formula>
    </cfRule>
  </conditionalFormatting>
  <conditionalFormatting sqref="Q35:Q36">
    <cfRule type="notContainsBlanks" dxfId="0" priority="4">
      <formula>LEN(TRIM(Q35))&gt;0</formula>
    </cfRule>
  </conditionalFormatting>
  <dataValidations count="4">
    <dataValidation type="list" allowBlank="1" sqref="E43 E167 E107" xr:uid="{00000000-0002-0000-0000-000000000000}">
      <formula1>"EH,IH,MRC,AMC,CRSS,MCCC"</formula1>
    </dataValidation>
    <dataValidation type="list" allowBlank="1" showInputMessage="1" prompt="按一下並輸入項目清單中的值" sqref="E47 E22 E74:E75 E91 E134 E162" xr:uid="{00000000-0002-0000-0000-000001000000}">
      <formula1>"EH,IH,MRC,AMC,CRSS,MCCC,GC"</formula1>
    </dataValidation>
    <dataValidation type="list" allowBlank="1" sqref="E64:E67 E139 E155 E161" xr:uid="{00000000-0002-0000-0000-000002000000}">
      <formula1>"GC,EH,IH,MRC,AMC,CRSS,MCCC"</formula1>
    </dataValidation>
    <dataValidation type="list" allowBlank="1" showInputMessage="1" prompt="按一下並輸入項目清單中的值 項目清單" sqref="E6:E7 D8 E9:E21 E23:E42 E44:E46 E48:E63 E68:E73 E76:E90 E92:E106 E108:E133 E135:E138 E140:E146 E154 E157:E160 E163:E166 E168:E170" xr:uid="{00000000-0002-0000-0000-000003000000}">
      <formula1>"EH,IH,MRC,AMC,CRSS,MCCC"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Queenies Hung</cp:lastModifiedBy>
  <dcterms:created xsi:type="dcterms:W3CDTF">2022-05-16T04:11:15Z</dcterms:created>
  <dcterms:modified xsi:type="dcterms:W3CDTF">2026-05-26T08:53:20Z</dcterms:modified>
</cp:coreProperties>
</file>